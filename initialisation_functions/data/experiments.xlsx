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Hania\PycharmProjects\questionnaireData\Data\"/>
    </mc:Choice>
  </mc:AlternateContent>
  <xr:revisionPtr revIDLastSave="0" documentId="13_ncr:1_{90886B78-76FC-4792-A34D-B6BB83B35E63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Lifestyle" sheetId="2" r:id="rId1"/>
    <sheet name="ATR_FTI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2" l="1"/>
  <c r="K17" i="2"/>
  <c r="K16" i="2"/>
  <c r="K15" i="2"/>
</calcChain>
</file>

<file path=xl/sharedStrings.xml><?xml version="1.0" encoding="utf-8"?>
<sst xmlns="http://schemas.openxmlformats.org/spreadsheetml/2006/main" count="1547" uniqueCount="328">
  <si>
    <t xml:space="preserve">Name </t>
  </si>
  <si>
    <t>medium /powder</t>
  </si>
  <si>
    <t>concentration [mg/ml]</t>
  </si>
  <si>
    <r>
      <rPr>
        <b/>
        <sz val="11"/>
        <color theme="1"/>
        <rFont val="Calibri"/>
      </rPr>
      <t xml:space="preserve">age </t>
    </r>
    <r>
      <rPr>
        <i/>
        <sz val="11"/>
        <color rgb="FFFF0000"/>
        <rFont val="Calibri"/>
      </rPr>
      <t>(after dissolving/ day of/ 7 days/ 30 days)</t>
    </r>
  </si>
  <si>
    <t>temperature  [°C]</t>
  </si>
  <si>
    <t>parameters (scans, resolution, bkg, range)</t>
  </si>
  <si>
    <t>Amide I maximum [cm-1]</t>
  </si>
  <si>
    <t>assigned structure</t>
  </si>
  <si>
    <t>comments</t>
  </si>
  <si>
    <t>PPT_5+9</t>
  </si>
  <si>
    <t>0,01M NaOH/PBS</t>
  </si>
  <si>
    <t>(1)</t>
  </si>
  <si>
    <t>512 sk, 4 cm, air</t>
  </si>
  <si>
    <t>aggregated</t>
  </si>
  <si>
    <t>stored in fridge at 4°C</t>
  </si>
  <si>
    <t>PPT_9+5</t>
  </si>
  <si>
    <t>PPT_17+18</t>
  </si>
  <si>
    <r>
      <rPr>
        <sz val="11"/>
        <color theme="1"/>
        <rFont val="Calibri"/>
      </rPr>
      <t>1660</t>
    </r>
    <r>
      <rPr>
        <b/>
        <sz val="11"/>
        <color theme="1"/>
        <rFont val="Calibri"/>
      </rPr>
      <t>/1630</t>
    </r>
  </si>
  <si>
    <t>0,1M NaCl</t>
  </si>
  <si>
    <t>14d</t>
  </si>
  <si>
    <t>512 sk, 4cm, air</t>
  </si>
  <si>
    <r>
      <rPr>
        <sz val="11"/>
        <color rgb="FF000000"/>
        <rFont val="Calibri"/>
      </rPr>
      <t>incubated at 37°C</t>
    </r>
    <r>
      <rPr>
        <sz val="11"/>
        <color rgb="FF434343"/>
        <rFont val="Calibri"/>
      </rPr>
      <t>,</t>
    </r>
    <r>
      <rPr>
        <i/>
        <sz val="11"/>
        <color rgb="FFFF0000"/>
        <rFont val="Calibri"/>
      </rPr>
      <t xml:space="preserve"> after fitration, low signal</t>
    </r>
  </si>
  <si>
    <t>30d</t>
  </si>
  <si>
    <t>49d</t>
  </si>
  <si>
    <t>1679/1650</t>
  </si>
  <si>
    <t>PPT_18+17</t>
  </si>
  <si>
    <t>PPT_21+22</t>
  </si>
  <si>
    <t>No</t>
  </si>
  <si>
    <t>Full name</t>
  </si>
  <si>
    <t>Sequence</t>
  </si>
  <si>
    <t>Formula</t>
  </si>
  <si>
    <t>M [g/mol]</t>
  </si>
  <si>
    <t>Motif</t>
  </si>
  <si>
    <t>Terminus</t>
  </si>
  <si>
    <t>Organism</t>
  </si>
  <si>
    <t>Lifestyle</t>
  </si>
  <si>
    <t>Temperature [st. C]</t>
  </si>
  <si>
    <t>pH</t>
  </si>
  <si>
    <t>Comments</t>
  </si>
  <si>
    <t>PPT_1</t>
  </si>
  <si>
    <t>ORT49035.1_103_123</t>
  </si>
  <si>
    <t>VDLRDAKGVQVGDGNVQINRF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</si>
  <si>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98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163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33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31</t>
    </r>
  </si>
  <si>
    <t>2300.2</t>
  </si>
  <si>
    <t>BASS3</t>
  </si>
  <si>
    <t>C</t>
  </si>
  <si>
    <t>Frankia sp. KB5</t>
  </si>
  <si>
    <t>ok. 25</t>
  </si>
  <si>
    <t>Gatunek jest symbiontem roślin (https://microbewiki.kenyon.edu/index.php/Frankia), a ten dokładnie szczep (https://www.jgenomics.com/v05p0064.htm) został wyizolowany z bulw rzewni skrzypolistnej (https://en.wikipedia.org/wiki/Casuarina_equisetifo) w Australii. Strzelam, że  lubi temperatury ok. 25 st. C</t>
  </si>
  <si>
    <t>PPT_4</t>
  </si>
  <si>
    <t>SesB_349_385</t>
  </si>
  <si>
    <t>SFNNLGSGDQFNTPGGTQNINKGGNEVSGGNFYGSVQF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</si>
  <si>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168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246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50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59</t>
    </r>
  </si>
  <si>
    <t>3910.8</t>
  </si>
  <si>
    <t>sigma</t>
  </si>
  <si>
    <t>Nectria haematococca / Fusarium solani</t>
  </si>
  <si>
    <t>26-30</t>
  </si>
  <si>
    <r>
      <t xml:space="preserve">sesB, </t>
    </r>
    <r>
      <rPr>
        <u/>
        <sz val="11"/>
        <color rgb="FF0000FF"/>
        <rFont val="Arial"/>
      </rPr>
      <t>https://pubmed.ncbi.nlm.nih.gov/15312233/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Arial"/>
      </rPr>
      <t>https://en.wikipedia.org/wiki/Fusarium_solani</t>
    </r>
  </si>
  <si>
    <t>PPT_5</t>
  </si>
  <si>
    <t>AEB69175.1 5 29</t>
  </si>
  <si>
    <t>KSRFDQRGQKVIGQQINVAGDATLP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</si>
  <si>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117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197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39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36</t>
    </r>
  </si>
  <si>
    <t>2726.8</t>
  </si>
  <si>
    <t>BASS</t>
  </si>
  <si>
    <t>N</t>
  </si>
  <si>
    <t>Methanothrix soehngenii GP6 (Methanosaeta concilii)</t>
  </si>
  <si>
    <t>35-40</t>
  </si>
  <si>
    <t>7.4-7.8</t>
  </si>
  <si>
    <t>https://horizon.documentation.ird.fr/exl-doc/pleins_textes/pleins_textes_5/b_fdi_31-32/34552.pdf</t>
  </si>
  <si>
    <t>PPT_6</t>
  </si>
  <si>
    <t>RDW70414_382_421</t>
  </si>
  <si>
    <t>GAPANNTSNSIQHNNSGSGHQNSGSGQQNIGTNTGSGQQ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</si>
  <si>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146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232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58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63</t>
    </r>
  </si>
  <si>
    <t>3808.6</t>
  </si>
  <si>
    <t>-</t>
  </si>
  <si>
    <t>m</t>
  </si>
  <si>
    <t>Coleophoma crateriformis</t>
  </si>
  <si>
    <r>
      <rPr>
        <u/>
        <sz val="11"/>
        <color rgb="FF1155CC"/>
        <rFont val="Arial"/>
      </rPr>
      <t>https://wiki.pestinfo.org/wiki/Coleophoma_(genus)</t>
    </r>
    <r>
      <rPr>
        <u/>
        <sz val="11"/>
        <color rgb="FF000000"/>
        <rFont val="Arial"/>
      </rPr>
      <t>, szczep wyizolowany z liści, w Japonii (https://www.ncbi.nlm.nih.gov/biosample/SAMN07177961), temperaturę zgaduję</t>
    </r>
  </si>
  <si>
    <t>PPT_7</t>
  </si>
  <si>
    <t>Q8DQ16_STRR6_68_102</t>
  </si>
  <si>
    <t>VDALINTGSAGAVAEGIAVGDVVIADKLAYHDVDV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</si>
  <si>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151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246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40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51</t>
    </r>
  </si>
  <si>
    <t>3435.8</t>
  </si>
  <si>
    <t>Streptococcus pneumoniae R6</t>
  </si>
  <si>
    <t>ok. 37</t>
  </si>
  <si>
    <r>
      <rPr>
        <u/>
        <sz val="11"/>
        <color rgb="FF0000FF"/>
        <rFont val="Arial"/>
      </rPr>
      <t>https://pubmed.ncbi.nlm.nih.gov/11544234/</t>
    </r>
    <r>
      <rPr>
        <sz val="11"/>
        <color rgb="FF000000"/>
        <rFont val="Arial"/>
      </rPr>
      <t>, temperaturę zgaduję</t>
    </r>
  </si>
  <si>
    <t>PPT_8</t>
  </si>
  <si>
    <t>ORT49016.1_1_21</t>
  </si>
  <si>
    <t>VNAPDARGLQVGTGNTQINNF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</si>
  <si>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92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149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31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31</t>
    </r>
  </si>
  <si>
    <t>2184.1</t>
  </si>
  <si>
    <t>PPT_8_Met</t>
  </si>
  <si>
    <t>MNAPDARGLQVGTGNTQINNF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</si>
  <si>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92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149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31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31</t>
    </r>
    <r>
      <rPr>
        <sz val="11"/>
        <color theme="1"/>
        <rFont val="Times New Roman"/>
      </rPr>
      <t>S</t>
    </r>
  </si>
  <si>
    <t>2217.4</t>
  </si>
  <si>
    <t>PPT_9</t>
  </si>
  <si>
    <t>AEB69174.1_150_174</t>
  </si>
  <si>
    <t>RTAFDQRGQTVHGSQTNIAGNVNRP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</si>
  <si>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112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183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43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37</t>
    </r>
  </si>
  <si>
    <t>2722.4</t>
  </si>
  <si>
    <t>PPT_10</t>
  </si>
  <si>
    <t>Het-eN_Nterminus</t>
  </si>
  <si>
    <t>SYNSSGPGNQYDAHGGTQNINQGGSQVTGGIFNGHVYF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</si>
  <si>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169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242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52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58</t>
    </r>
  </si>
  <si>
    <t>3927.8</t>
  </si>
  <si>
    <t>https://journals.plos.org/plosone/article?id=10.1371/journal.pone.0034854</t>
  </si>
  <si>
    <t>PPT_11</t>
  </si>
  <si>
    <t>APA16012 327 359</t>
  </si>
  <si>
    <t>SRDEGASFSGHFSTNGGKQFIGGNFNSGGGVTF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</si>
  <si>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144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208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44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48</t>
    </r>
  </si>
  <si>
    <t>3321.5</t>
  </si>
  <si>
    <t>Sclerotinia sclerotiorum 1980 UF-70</t>
  </si>
  <si>
    <t>15-21</t>
  </si>
  <si>
    <r>
      <rPr>
        <u/>
        <sz val="11"/>
        <color rgb="FF0000FF"/>
        <rFont val="Arial"/>
      </rPr>
      <t>https://en.wikipedia.org/wiki/Sclerotinia_sclerotiorum</t>
    </r>
    <r>
      <rPr>
        <sz val="11"/>
        <color rgb="FF000000"/>
        <rFont val="Arial"/>
      </rPr>
      <t>; lubi wilgoć (ibidem)</t>
    </r>
  </si>
  <si>
    <t>PPT_12</t>
  </si>
  <si>
    <t>APA16011_194_226</t>
  </si>
  <si>
    <t>SKRQRINRQGNFTNADGSQFIASNLNSGGGSIN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</si>
  <si>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144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235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53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50</t>
    </r>
  </si>
  <si>
    <t>3506.8</t>
  </si>
  <si>
    <t>PPT_13</t>
  </si>
  <si>
    <t>SesA_159_196</t>
  </si>
  <si>
    <t>TFTNIGNGNQYNATDGPQNINQGGNQVTGGTFPGTVNF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</si>
  <si>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167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249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51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59</t>
    </r>
  </si>
  <si>
    <t>3912.8</t>
  </si>
  <si>
    <r>
      <t xml:space="preserve">sesA, </t>
    </r>
    <r>
      <rPr>
        <u/>
        <sz val="11"/>
        <color rgb="FF0000FF"/>
        <rFont val="Arial"/>
      </rPr>
      <t>https://pubmed.ncbi.nlm.nih.gov/15312233/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Arial"/>
      </rPr>
      <t>https://en.wikipedia.org/wiki/Fusarium_solani</t>
    </r>
  </si>
  <si>
    <t>PPT_14</t>
  </si>
  <si>
    <t>CAB66307.1_117_139</t>
  </si>
  <si>
    <t>LRARASGSARIYQAGRDQHITER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</si>
  <si>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108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183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43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33</t>
    </r>
  </si>
  <si>
    <t>2611.9</t>
  </si>
  <si>
    <t>BASS1</t>
  </si>
  <si>
    <t>Streptomyces coelicolor A3(2)</t>
  </si>
  <si>
    <t>saprofit glebowy</t>
  </si>
  <si>
    <r>
      <t>free-living terrestrial non-pathogenic aerobic heterotroph (</t>
    </r>
    <r>
      <rPr>
        <u/>
        <sz val="11"/>
        <color rgb="FF0000FF"/>
        <rFont val="Arial"/>
      </rPr>
      <t>https://www.ncbi.nlm.nih.gov/biosample/SAMEA1705940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rgb="FF1155CC"/>
        <rFont val="Arial"/>
      </rPr>
      <t>https://www.nature.com/articles/417141a)</t>
    </r>
    <r>
      <rPr>
        <sz val="11"/>
        <color theme="1"/>
        <rFont val="Calibri"/>
        <family val="2"/>
        <scheme val="minor"/>
      </rPr>
      <t>, temperaturę zgaduję</t>
    </r>
  </si>
  <si>
    <t>PPT_15</t>
  </si>
  <si>
    <t>ARF62511.1_110_132</t>
  </si>
  <si>
    <t>QRATASGSARVYQAGRDQHITER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</si>
  <si>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104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173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41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35</t>
    </r>
  </si>
  <si>
    <t>2557.8</t>
  </si>
  <si>
    <t>Streptomyces violaceoruber</t>
  </si>
  <si>
    <t>seabed sludge from China (Shandong) (https://www.ncbi.nlm.nih.gov/biosample/SAMN06323808), temperatura Morza Żółtego (https://factslegend.org/30-yellow-sea-facts-need-project/)</t>
  </si>
  <si>
    <t>PPT_16</t>
  </si>
  <si>
    <t>ARF62512.1_5_27</t>
  </si>
  <si>
    <t xml:space="preserve">TEGRAEDNGRVYQSQGDQHITEH 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</si>
  <si>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106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164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38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41</t>
    </r>
  </si>
  <si>
    <t>2626.7</t>
  </si>
  <si>
    <t>PPT_17</t>
  </si>
  <si>
    <t>OAB01746.1_101_128</t>
  </si>
  <si>
    <t>GDGTVHNTISGGTQHGPVLQGRDFSGLS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</si>
  <si>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117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185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39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41</t>
    </r>
  </si>
  <si>
    <t>2794.0</t>
  </si>
  <si>
    <t>BASS2</t>
  </si>
  <si>
    <t>Streptomyces sp. FXJ1.172</t>
  </si>
  <si>
    <t>moderately acidophilic</t>
  </si>
  <si>
    <r>
      <t xml:space="preserve">lasalosid-producing strain from red soil (China, JiangXi), produkuje kwas lasalowy (https://www.ncbi.nlm.nih.gov/biosample/SAMN04892703, </t>
    </r>
    <r>
      <rPr>
        <u/>
        <sz val="11"/>
        <color rgb="FF1155CC"/>
        <rFont val="Arial"/>
      </rPr>
      <t>https://chemistry-europe.onlinelibrary.wiley.com/doi/full/10.1002/ejoc.201600297))</t>
    </r>
    <r>
      <rPr>
        <sz val="11"/>
        <color theme="1"/>
        <rFont val="Calibri"/>
        <family val="2"/>
        <scheme val="minor"/>
      </rPr>
      <t>, temperatura dla JiangXi (https://en.wikipedia.org/wiki/Jiangxi)</t>
    </r>
  </si>
  <si>
    <t>PPT_18</t>
  </si>
  <si>
    <t>OAB01747.1_12_39</t>
  </si>
  <si>
    <t>ADGRVNNTISGGFFFHAVIQGRDIAVQL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</si>
  <si>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134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209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41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38</t>
    </r>
  </si>
  <si>
    <t>3002.4</t>
  </si>
  <si>
    <t>PPT_19</t>
  </si>
  <si>
    <t>AFY38362.1_128_152</t>
  </si>
  <si>
    <t>GGNVSQEAITDVKVGGNLKIGNVDQ</t>
  </si>
  <si>
    <r>
      <rPr>
        <sz val="11"/>
        <color theme="1"/>
        <rFont val="Times New Roman"/>
      </rPr>
      <t>C</t>
    </r>
    <r>
      <rPr>
        <vertAlign val="subscript"/>
        <sz val="11"/>
        <color theme="1"/>
        <rFont val="Times New Roman"/>
      </rPr>
      <t>105</t>
    </r>
    <r>
      <rPr>
        <sz val="11"/>
        <color theme="1"/>
        <rFont val="Times New Roman"/>
      </rPr>
      <t>H</t>
    </r>
    <r>
      <rPr>
        <vertAlign val="subscript"/>
        <sz val="11"/>
        <color theme="1"/>
        <rFont val="Times New Roman"/>
      </rPr>
      <t>179</t>
    </r>
    <r>
      <rPr>
        <sz val="11"/>
        <color theme="1"/>
        <rFont val="Times New Roman"/>
      </rPr>
      <t>N</t>
    </r>
    <r>
      <rPr>
        <vertAlign val="subscript"/>
        <sz val="11"/>
        <color theme="1"/>
        <rFont val="Times New Roman"/>
      </rPr>
      <t>33</t>
    </r>
    <r>
      <rPr>
        <sz val="11"/>
        <color theme="1"/>
        <rFont val="Times New Roman"/>
      </rPr>
      <t>O</t>
    </r>
    <r>
      <rPr>
        <vertAlign val="subscript"/>
        <sz val="11"/>
        <color theme="1"/>
        <rFont val="Times New Roman"/>
      </rPr>
      <t>38</t>
    </r>
  </si>
  <si>
    <t>2511.8</t>
  </si>
  <si>
    <t>BASS4</t>
  </si>
  <si>
    <t>C2</t>
  </si>
  <si>
    <t>Leptolyngbya sp. (Symphothece fragile) PCC 7376</t>
  </si>
  <si>
    <t>sinica</t>
  </si>
  <si>
    <t>mesophilic</t>
  </si>
  <si>
    <t>free-living aerobic meshopilic chemoheterotroph from Crystal Cave (limestone, Bermuda) (https://www.ncbi.nlm.nih.gov/biosample/SAMN02232033), coastal marine (https://peerj.com/preprints/2676.pdf)</t>
  </si>
  <si>
    <t>PPT_20</t>
  </si>
  <si>
    <t>AFY38363.1_6_31</t>
  </si>
  <si>
    <t>QKKIIQKAISDIVVHGNLTVGDITQ</t>
  </si>
  <si>
    <r>
      <rPr>
        <sz val="11"/>
        <color rgb="FF000000"/>
        <rFont val="Times New Roman"/>
      </rPr>
      <t>C</t>
    </r>
    <r>
      <rPr>
        <vertAlign val="subscript"/>
        <sz val="11"/>
        <color rgb="FF000000"/>
        <rFont val="Times New Roman"/>
      </rPr>
      <t>120</t>
    </r>
    <r>
      <rPr>
        <sz val="11"/>
        <color rgb="FF000000"/>
        <rFont val="Times New Roman"/>
      </rPr>
      <t>H</t>
    </r>
    <r>
      <rPr>
        <vertAlign val="subscript"/>
        <sz val="11"/>
        <color rgb="FF000000"/>
        <rFont val="Times New Roman"/>
      </rPr>
      <t>209</t>
    </r>
    <r>
      <rPr>
        <sz val="11"/>
        <color rgb="FF000000"/>
        <rFont val="Times New Roman"/>
      </rPr>
      <t>N</t>
    </r>
    <r>
      <rPr>
        <vertAlign val="subscript"/>
        <sz val="11"/>
        <color rgb="FF000000"/>
        <rFont val="Times New Roman"/>
      </rPr>
      <t>35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36</t>
    </r>
  </si>
  <si>
    <t>2718.1</t>
  </si>
  <si>
    <t>PPT_21</t>
  </si>
  <si>
    <t>EQB50682.1_332_355</t>
  </si>
  <si>
    <t>VFHGKGIQHTGSGNFSVGNDLSIS</t>
  </si>
  <si>
    <r>
      <rPr>
        <sz val="11"/>
        <color rgb="FF000000"/>
        <rFont val="Times New Roman"/>
      </rPr>
      <t>C</t>
    </r>
    <r>
      <rPr>
        <vertAlign val="subscript"/>
        <sz val="11"/>
        <color rgb="FF000000"/>
        <rFont val="Times New Roman"/>
      </rPr>
      <t>107</t>
    </r>
    <r>
      <rPr>
        <sz val="11"/>
        <color rgb="FF000000"/>
        <rFont val="Times New Roman"/>
      </rPr>
      <t>H</t>
    </r>
    <r>
      <rPr>
        <vertAlign val="subscript"/>
        <sz val="11"/>
        <color rgb="FF000000"/>
        <rFont val="Times New Roman"/>
      </rPr>
      <t>165</t>
    </r>
    <r>
      <rPr>
        <sz val="11"/>
        <color rgb="FF000000"/>
        <rFont val="Times New Roman"/>
      </rPr>
      <t>N</t>
    </r>
    <r>
      <rPr>
        <vertAlign val="subscript"/>
        <sz val="11"/>
        <color rgb="FF000000"/>
        <rFont val="Times New Roman"/>
      </rPr>
      <t>33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34</t>
    </r>
  </si>
  <si>
    <t>2457.6</t>
  </si>
  <si>
    <t>nowy</t>
  </si>
  <si>
    <t>Colletotrichum gloeosporioides Cg-14 / Glomerella_cingulata</t>
  </si>
  <si>
    <t>20-30</t>
  </si>
  <si>
    <t>5.8-6.5</t>
  </si>
  <si>
    <r>
      <rPr>
        <u/>
        <sz val="11"/>
        <color rgb="FF0000FF"/>
        <rFont val="Arial"/>
      </rPr>
      <t>http://fungi.ensembl.org/Colletotrichum_gloeosporioides_cg_14_gca_000446055/Info/Index</t>
    </r>
    <r>
      <rPr>
        <sz val="11"/>
        <color rgb="FF000000"/>
        <rFont val="Arial"/>
      </rPr>
      <t>, decayed Avocado fruit from Israel (https://www.ncbi.nlm.nih.gov/biosample/SAMN02981466)</t>
    </r>
  </si>
  <si>
    <t>PPT_22</t>
  </si>
  <si>
    <t>EQB50683.1_9_31</t>
  </si>
  <si>
    <t xml:space="preserve"> FHGHGIALSGAGNITVGGDFIIG</t>
  </si>
  <si>
    <r>
      <rPr>
        <sz val="11"/>
        <color rgb="FF000000"/>
        <rFont val="Times New Roman"/>
      </rPr>
      <t>C</t>
    </r>
    <r>
      <rPr>
        <vertAlign val="subscript"/>
        <sz val="11"/>
        <color rgb="FF000000"/>
        <rFont val="Times New Roman"/>
      </rPr>
      <t>100</t>
    </r>
    <r>
      <rPr>
        <sz val="11"/>
        <color rgb="FF000000"/>
        <rFont val="Times New Roman"/>
      </rPr>
      <t>H</t>
    </r>
    <r>
      <rPr>
        <vertAlign val="subscript"/>
        <sz val="11"/>
        <color rgb="FF000000"/>
        <rFont val="Times New Roman"/>
      </rPr>
      <t>153</t>
    </r>
    <r>
      <rPr>
        <sz val="11"/>
        <color rgb="FF000000"/>
        <rFont val="Times New Roman"/>
      </rPr>
      <t>N</t>
    </r>
    <r>
      <rPr>
        <vertAlign val="subscript"/>
        <sz val="11"/>
        <color rgb="FF000000"/>
        <rFont val="Times New Roman"/>
      </rPr>
      <t>29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28</t>
    </r>
  </si>
  <si>
    <t>2209.5</t>
  </si>
  <si>
    <t>PPT_23</t>
  </si>
  <si>
    <r>
      <rPr>
        <sz val="11"/>
        <color rgb="FF000000"/>
        <rFont val="Times New Roman"/>
      </rPr>
      <t>C</t>
    </r>
    <r>
      <rPr>
        <vertAlign val="subscript"/>
        <sz val="11"/>
        <color rgb="FF000000"/>
        <rFont val="Times New Roman"/>
      </rPr>
      <t>92</t>
    </r>
    <r>
      <rPr>
        <sz val="11"/>
        <color rgb="FF000000"/>
        <rFont val="Times New Roman"/>
      </rPr>
      <t>H</t>
    </r>
    <r>
      <rPr>
        <vertAlign val="subscript"/>
        <sz val="11"/>
        <color rgb="FF000000"/>
        <rFont val="Times New Roman"/>
      </rPr>
      <t>149</t>
    </r>
    <r>
      <rPr>
        <sz val="11"/>
        <color rgb="FF000000"/>
        <rFont val="Times New Roman"/>
      </rPr>
      <t>N</t>
    </r>
    <r>
      <rPr>
        <vertAlign val="subscript"/>
        <sz val="11"/>
        <color rgb="FF000000"/>
        <rFont val="Times New Roman"/>
      </rPr>
      <t>31</t>
    </r>
    <r>
      <rPr>
        <sz val="11"/>
        <color rgb="FF000000"/>
        <rFont val="Times New Roman"/>
      </rPr>
      <t>O</t>
    </r>
    <r>
      <rPr>
        <vertAlign val="subscript"/>
        <sz val="11"/>
        <color rgb="FF000000"/>
        <rFont val="Times New Roman"/>
      </rPr>
      <t>31</t>
    </r>
    <r>
      <rPr>
        <sz val="11"/>
        <color rgb="FF000000"/>
        <rFont val="Times New Roman"/>
      </rPr>
      <t>S</t>
    </r>
  </si>
  <si>
    <t>PPT_24</t>
  </si>
  <si>
    <t>CAB66306.1_7_29</t>
  </si>
  <si>
    <t>MEGRASGSARIYQAGGDQYIEEH</t>
  </si>
  <si>
    <t>PPT_25</t>
  </si>
  <si>
    <t>AFY38362.1_100_124</t>
  </si>
  <si>
    <t>DAQVKQVLLKNIDVAGDAEIGDMSQ</t>
  </si>
  <si>
    <t>2658.0</t>
  </si>
  <si>
    <t>C1</t>
  </si>
  <si>
    <t>date↓</t>
  </si>
  <si>
    <t>powder</t>
  </si>
  <si>
    <t>0,1M NaOH</t>
  </si>
  <si>
    <t>after dissolving</t>
  </si>
  <si>
    <t>+PBS 6.8</t>
  </si>
  <si>
    <t>24h</t>
  </si>
  <si>
    <t>incubated at 37°C</t>
  </si>
  <si>
    <t>stored at fridge</t>
  </si>
  <si>
    <t>D2O</t>
  </si>
  <si>
    <t>extended</t>
  </si>
  <si>
    <r>
      <rPr>
        <sz val="11"/>
        <color theme="1"/>
        <rFont val="Calibri"/>
      </rPr>
      <t>1635/</t>
    </r>
    <r>
      <rPr>
        <b/>
        <sz val="11"/>
        <color theme="1"/>
        <rFont val="Calibri"/>
      </rPr>
      <t>1624</t>
    </r>
  </si>
  <si>
    <r>
      <rPr>
        <b/>
        <sz val="11"/>
        <color theme="1"/>
        <rFont val="Calibri"/>
      </rPr>
      <t>1632</t>
    </r>
    <r>
      <rPr>
        <sz val="11"/>
        <color theme="1"/>
        <rFont val="Calibri"/>
      </rPr>
      <t>/1622 sh</t>
    </r>
  </si>
  <si>
    <r>
      <rPr>
        <b/>
        <sz val="11"/>
        <color theme="1"/>
        <rFont val="Calibri"/>
      </rPr>
      <t>1632</t>
    </r>
    <r>
      <rPr>
        <sz val="11"/>
        <color theme="1"/>
        <rFont val="Calibri"/>
      </rPr>
      <t>/1621 sh</t>
    </r>
  </si>
  <si>
    <t>0,2M HCl</t>
  </si>
  <si>
    <r>
      <rPr>
        <sz val="11"/>
        <color theme="1"/>
        <rFont val="Calibri"/>
      </rPr>
      <t>1648/</t>
    </r>
    <r>
      <rPr>
        <b/>
        <sz val="11"/>
        <color theme="1"/>
        <rFont val="Calibri"/>
      </rPr>
      <t>1626</t>
    </r>
  </si>
  <si>
    <t>5d</t>
  </si>
  <si>
    <t>6d</t>
  </si>
  <si>
    <r>
      <rPr>
        <b/>
        <sz val="11"/>
        <color theme="1"/>
        <rFont val="Calibri"/>
      </rPr>
      <t>1633</t>
    </r>
    <r>
      <rPr>
        <sz val="11"/>
        <color theme="1"/>
        <rFont val="Calibri"/>
      </rPr>
      <t>/1620 sh</t>
    </r>
  </si>
  <si>
    <t>3-4mc</t>
  </si>
  <si>
    <t>128 sk, 4 cm, air</t>
  </si>
  <si>
    <r>
      <rPr>
        <b/>
        <sz val="11"/>
        <color theme="1"/>
        <rFont val="Calibri"/>
      </rPr>
      <t>1650</t>
    </r>
    <r>
      <rPr>
        <sz val="11"/>
        <color theme="1"/>
        <rFont val="Calibri"/>
      </rPr>
      <t>/1625</t>
    </r>
  </si>
  <si>
    <t>incubated at 37°C, deaminated</t>
  </si>
  <si>
    <t>HCl/PBS</t>
  </si>
  <si>
    <t>4d</t>
  </si>
  <si>
    <t>filtrated</t>
  </si>
  <si>
    <t>0,1M NaOH/PBS</t>
  </si>
  <si>
    <t>1d</t>
  </si>
  <si>
    <r>
      <rPr>
        <sz val="11"/>
        <color rgb="FF000000"/>
        <rFont val="Calibri"/>
      </rPr>
      <t>incubated at 37°C,</t>
    </r>
    <r>
      <rPr>
        <sz val="11"/>
        <color rgb="FF6AA84F"/>
        <rFont val="Calibri"/>
      </rPr>
      <t xml:space="preserve"> </t>
    </r>
    <r>
      <rPr>
        <i/>
        <sz val="11"/>
        <color rgb="FFFF0000"/>
        <rFont val="Calibri"/>
      </rPr>
      <t>filtrated</t>
    </r>
  </si>
  <si>
    <t>0,3M NaOH/PBS</t>
  </si>
  <si>
    <t>HFIP/PBS</t>
  </si>
  <si>
    <t>(4d)</t>
  </si>
  <si>
    <t>HFIP/NaOH/PBS</t>
  </si>
  <si>
    <t>7d</t>
  </si>
  <si>
    <t>11d</t>
  </si>
  <si>
    <t>1ms</t>
  </si>
  <si>
    <t>25-60, every 5</t>
  </si>
  <si>
    <t>(1ms)</t>
  </si>
  <si>
    <t>3d</t>
  </si>
  <si>
    <t>1639 br</t>
  </si>
  <si>
    <t>1652 br</t>
  </si>
  <si>
    <t>stored in fridge at -22°C</t>
  </si>
  <si>
    <t>1651 br</t>
  </si>
  <si>
    <t>3 d</t>
  </si>
  <si>
    <t>1656 br</t>
  </si>
  <si>
    <t>1658 br</t>
  </si>
  <si>
    <t>10d</t>
  </si>
  <si>
    <t>0,2M NH3</t>
  </si>
  <si>
    <t>0,2M NH4Cl</t>
  </si>
  <si>
    <t>0,2M NH3*</t>
  </si>
  <si>
    <t>0,2M NH4Cl*</t>
  </si>
  <si>
    <t>incubated at 37°C**</t>
  </si>
  <si>
    <t>without filtration, directy into NH4Cl</t>
  </si>
  <si>
    <t>without filtration, step by step</t>
  </si>
  <si>
    <t>9d</t>
  </si>
  <si>
    <r>
      <rPr>
        <sz val="11"/>
        <color theme="1"/>
        <rFont val="Calibri"/>
      </rPr>
      <t>incubated at 37°C (</t>
    </r>
    <r>
      <rPr>
        <i/>
        <sz val="11"/>
        <color rgb="FFFF0000"/>
        <rFont val="Calibri"/>
      </rPr>
      <t>without filtration, step by step</t>
    </r>
    <r>
      <rPr>
        <sz val="11"/>
        <color theme="1"/>
        <rFont val="Calibri"/>
      </rPr>
      <t>)</t>
    </r>
  </si>
  <si>
    <t>4-5h</t>
  </si>
  <si>
    <r>
      <rPr>
        <sz val="11"/>
        <color theme="1"/>
        <rFont val="Calibri"/>
      </rPr>
      <t>1675/</t>
    </r>
    <r>
      <rPr>
        <b/>
        <sz val="11"/>
        <color theme="1"/>
        <rFont val="Calibri"/>
      </rPr>
      <t>1631</t>
    </r>
  </si>
  <si>
    <t>without fitration, low signal</t>
  </si>
  <si>
    <t>(2)</t>
  </si>
  <si>
    <t>filtrated, low signal</t>
  </si>
  <si>
    <t>1633 vbr</t>
  </si>
  <si>
    <t>40d</t>
  </si>
  <si>
    <r>
      <rPr>
        <sz val="11"/>
        <color theme="1"/>
        <rFont val="Calibri"/>
      </rPr>
      <t>1662/</t>
    </r>
    <r>
      <rPr>
        <b/>
        <sz val="11"/>
        <color theme="1"/>
        <rFont val="Calibri"/>
      </rPr>
      <t>1629</t>
    </r>
  </si>
  <si>
    <r>
      <rPr>
        <b/>
        <sz val="11"/>
        <color theme="1"/>
        <rFont val="Calibri"/>
      </rPr>
      <t>1665/</t>
    </r>
    <r>
      <rPr>
        <sz val="11"/>
        <color theme="1"/>
        <rFont val="Calibri"/>
      </rPr>
      <t>1626</t>
    </r>
  </si>
  <si>
    <t>powder(old)</t>
  </si>
  <si>
    <t>lack of amides</t>
  </si>
  <si>
    <t>deamided</t>
  </si>
  <si>
    <r>
      <rPr>
        <sz val="11"/>
        <color theme="1"/>
        <rFont val="Calibri"/>
      </rPr>
      <t>1660</t>
    </r>
    <r>
      <rPr>
        <b/>
        <sz val="11"/>
        <color theme="1"/>
        <rFont val="Calibri"/>
      </rPr>
      <t>/1631</t>
    </r>
  </si>
  <si>
    <r>
      <rPr>
        <sz val="11"/>
        <color theme="1"/>
        <rFont val="Calibri"/>
      </rPr>
      <t>1659/</t>
    </r>
    <r>
      <rPr>
        <b/>
        <sz val="11"/>
        <color theme="1"/>
        <rFont val="Calibri"/>
      </rPr>
      <t>1629</t>
    </r>
  </si>
  <si>
    <r>
      <rPr>
        <sz val="11"/>
        <color theme="1"/>
        <rFont val="Calibri"/>
      </rPr>
      <t>1660/</t>
    </r>
    <r>
      <rPr>
        <b/>
        <sz val="11"/>
        <color theme="1"/>
        <rFont val="Calibri"/>
      </rPr>
      <t>1632</t>
    </r>
  </si>
  <si>
    <t>without filtration</t>
  </si>
  <si>
    <t>60 min</t>
  </si>
  <si>
    <t>after fitration, low signal</t>
  </si>
  <si>
    <t>90 min</t>
  </si>
  <si>
    <t>120 min</t>
  </si>
  <si>
    <t>after fitration</t>
  </si>
  <si>
    <t>60 min/1d</t>
  </si>
  <si>
    <t>90 min/1d</t>
  </si>
  <si>
    <t>incubated at 37°C, after fitration, low signal</t>
  </si>
  <si>
    <t>120 min/1d</t>
  </si>
  <si>
    <r>
      <rPr>
        <sz val="11"/>
        <color theme="1"/>
        <rFont val="Calibri"/>
      </rPr>
      <t>1659/</t>
    </r>
    <r>
      <rPr>
        <b/>
        <sz val="11"/>
        <color theme="1"/>
        <rFont val="Calibri"/>
      </rPr>
      <t>1631</t>
    </r>
  </si>
  <si>
    <r>
      <rPr>
        <sz val="11"/>
        <color theme="1"/>
        <rFont val="Calibri"/>
      </rPr>
      <t xml:space="preserve">stored in fridge at 4°C, </t>
    </r>
    <r>
      <rPr>
        <i/>
        <sz val="11"/>
        <color rgb="FFFF0000"/>
        <rFont val="Calibri"/>
      </rPr>
      <t>without filtration</t>
    </r>
  </si>
  <si>
    <r>
      <rPr>
        <sz val="11"/>
        <color theme="1"/>
        <rFont val="Calibri"/>
      </rPr>
      <t>1659/</t>
    </r>
    <r>
      <rPr>
        <b/>
        <sz val="11"/>
        <color theme="1"/>
        <rFont val="Calibri"/>
      </rPr>
      <t>1630</t>
    </r>
  </si>
  <si>
    <t>60 min/7d</t>
  </si>
  <si>
    <t>90 min/7d</t>
  </si>
  <si>
    <t>120 min/7d</t>
  </si>
  <si>
    <t>1679/1666/1656/1649</t>
  </si>
  <si>
    <t>1682/1656</t>
  </si>
  <si>
    <t>48d</t>
  </si>
  <si>
    <t>1673/1656</t>
  </si>
  <si>
    <r>
      <rPr>
        <sz val="11"/>
        <color rgb="FF000000"/>
        <rFont val="Calibri"/>
      </rPr>
      <t>incubated at 37°C</t>
    </r>
    <r>
      <rPr>
        <sz val="11"/>
        <color rgb="FF434343"/>
        <rFont val="Calibri"/>
      </rPr>
      <t>,</t>
    </r>
    <r>
      <rPr>
        <i/>
        <sz val="11"/>
        <color rgb="FFFF0000"/>
        <rFont val="Calibri"/>
      </rPr>
      <t xml:space="preserve"> after fitration, low signal, high carbonyla</t>
    </r>
  </si>
  <si>
    <t>incubated at 37°C, after fitration, low signal, high carbonyls</t>
  </si>
  <si>
    <r>
      <rPr>
        <sz val="11"/>
        <color rgb="FF000000"/>
        <rFont val="Calibri"/>
      </rPr>
      <t>incubated at 37°C</t>
    </r>
    <r>
      <rPr>
        <sz val="11"/>
        <color rgb="FF434343"/>
        <rFont val="Calibri"/>
      </rPr>
      <t>,</t>
    </r>
    <r>
      <rPr>
        <i/>
        <sz val="11"/>
        <color rgb="FFFF0000"/>
        <rFont val="Calibri"/>
      </rPr>
      <t xml:space="preserve"> after fitration, low signal, high carbonyls</t>
    </r>
  </si>
  <si>
    <r>
      <rPr>
        <sz val="11"/>
        <color theme="1"/>
        <rFont val="Calibri"/>
      </rPr>
      <t>1661/</t>
    </r>
    <r>
      <rPr>
        <b/>
        <sz val="11"/>
        <color theme="1"/>
        <rFont val="Calibri"/>
      </rPr>
      <t>1627</t>
    </r>
  </si>
  <si>
    <r>
      <rPr>
        <sz val="11"/>
        <color theme="1"/>
        <rFont val="Calibri"/>
      </rPr>
      <t>1660/</t>
    </r>
    <r>
      <rPr>
        <b/>
        <sz val="11"/>
        <color theme="1"/>
        <rFont val="Calibri"/>
      </rPr>
      <t>1627</t>
    </r>
  </si>
  <si>
    <t>8d</t>
  </si>
  <si>
    <t>18-40, every 2</t>
  </si>
  <si>
    <r>
      <rPr>
        <sz val="11"/>
        <color theme="1"/>
        <rFont val="Calibri"/>
      </rPr>
      <t>1661/</t>
    </r>
    <r>
      <rPr>
        <b/>
        <sz val="11"/>
        <color theme="1"/>
        <rFont val="Calibri"/>
      </rPr>
      <t>1626</t>
    </r>
  </si>
  <si>
    <r>
      <rPr>
        <sz val="11"/>
        <color theme="1"/>
        <rFont val="Calibri"/>
      </rPr>
      <t>1656/</t>
    </r>
    <r>
      <rPr>
        <b/>
        <sz val="11"/>
        <color theme="1"/>
        <rFont val="Calibri"/>
      </rPr>
      <t>1625</t>
    </r>
  </si>
  <si>
    <r>
      <rPr>
        <sz val="11"/>
        <color theme="1"/>
        <rFont val="Calibri"/>
      </rPr>
      <t>1660/</t>
    </r>
    <r>
      <rPr>
        <b/>
        <sz val="11"/>
        <color theme="1"/>
        <rFont val="Calibri"/>
      </rPr>
      <t>1625</t>
    </r>
  </si>
  <si>
    <t>stored at 4°C</t>
  </si>
  <si>
    <r>
      <rPr>
        <sz val="11"/>
        <color theme="1"/>
        <rFont val="Calibri"/>
      </rPr>
      <t>1664/</t>
    </r>
    <r>
      <rPr>
        <b/>
        <sz val="11"/>
        <color theme="1"/>
        <rFont val="Calibri"/>
      </rPr>
      <t>1624</t>
    </r>
  </si>
  <si>
    <r>
      <rPr>
        <sz val="11"/>
        <color theme="1"/>
        <rFont val="Calibri"/>
      </rPr>
      <t>1665/</t>
    </r>
    <r>
      <rPr>
        <b/>
        <sz val="11"/>
        <color theme="1"/>
        <rFont val="Calibri"/>
      </rPr>
      <t>1624</t>
    </r>
  </si>
  <si>
    <r>
      <rPr>
        <sz val="11"/>
        <color theme="1"/>
        <rFont val="Calibri"/>
      </rPr>
      <t>1665</t>
    </r>
    <r>
      <rPr>
        <b/>
        <sz val="11"/>
        <color theme="1"/>
        <rFont val="Calibri"/>
      </rPr>
      <t>/1625</t>
    </r>
  </si>
  <si>
    <r>
      <rPr>
        <sz val="11"/>
        <color theme="1"/>
        <rFont val="Calibri"/>
      </rPr>
      <t>1666</t>
    </r>
    <r>
      <rPr>
        <b/>
        <sz val="11"/>
        <color theme="1"/>
        <rFont val="Calibri"/>
      </rPr>
      <t>/1625</t>
    </r>
  </si>
  <si>
    <r>
      <rPr>
        <sz val="11"/>
        <color theme="1"/>
        <rFont val="Calibri"/>
      </rPr>
      <t>1666/</t>
    </r>
    <r>
      <rPr>
        <b/>
        <sz val="11"/>
        <color theme="1"/>
        <rFont val="Calibri"/>
      </rPr>
      <t>1626</t>
    </r>
  </si>
  <si>
    <r>
      <rPr>
        <sz val="11"/>
        <color theme="1"/>
        <rFont val="Calibri"/>
      </rPr>
      <t>1649</t>
    </r>
    <r>
      <rPr>
        <b/>
        <sz val="11"/>
        <color theme="1"/>
        <rFont val="Calibri"/>
      </rPr>
      <t>/1623</t>
    </r>
  </si>
  <si>
    <r>
      <rPr>
        <sz val="11"/>
        <color theme="1"/>
        <rFont val="Calibri"/>
      </rPr>
      <t>1655</t>
    </r>
    <r>
      <rPr>
        <b/>
        <sz val="11"/>
        <color theme="1"/>
        <rFont val="Calibri"/>
      </rPr>
      <t>/1625</t>
    </r>
  </si>
  <si>
    <r>
      <rPr>
        <sz val="11"/>
        <color theme="1"/>
        <rFont val="Calibri"/>
      </rPr>
      <t>1656</t>
    </r>
    <r>
      <rPr>
        <b/>
        <sz val="11"/>
        <color theme="1"/>
        <rFont val="Calibri"/>
      </rPr>
      <t>/1627</t>
    </r>
  </si>
  <si>
    <t>2d</t>
  </si>
  <si>
    <r>
      <rPr>
        <sz val="11"/>
        <color theme="1"/>
        <rFont val="Calibri"/>
      </rPr>
      <t>1642/</t>
    </r>
    <r>
      <rPr>
        <b/>
        <sz val="11"/>
        <color theme="1"/>
        <rFont val="Calibri"/>
      </rPr>
      <t>1624</t>
    </r>
  </si>
  <si>
    <r>
      <rPr>
        <b/>
        <sz val="11"/>
        <color theme="1"/>
        <rFont val="Calibri"/>
      </rPr>
      <t>1638</t>
    </r>
    <r>
      <rPr>
        <sz val="11"/>
        <color theme="1"/>
        <rFont val="Calibri"/>
      </rPr>
      <t>/1626</t>
    </r>
  </si>
  <si>
    <r>
      <rPr>
        <b/>
        <sz val="11"/>
        <color theme="1"/>
        <rFont val="Calibri"/>
      </rPr>
      <t>1630/</t>
    </r>
    <r>
      <rPr>
        <sz val="11"/>
        <color theme="1"/>
        <rFont val="Calibri"/>
      </rPr>
      <t>1624</t>
    </r>
  </si>
  <si>
    <t>20-40, every 2</t>
  </si>
  <si>
    <r>
      <rPr>
        <sz val="11"/>
        <color theme="1"/>
        <rFont val="Calibri"/>
      </rPr>
      <t>1638/</t>
    </r>
    <r>
      <rPr>
        <b/>
        <sz val="11"/>
        <color theme="1"/>
        <rFont val="Calibri"/>
      </rPr>
      <t>1625</t>
    </r>
  </si>
  <si>
    <r>
      <rPr>
        <sz val="11"/>
        <color theme="1"/>
        <rFont val="Calibri"/>
      </rPr>
      <t>1661/</t>
    </r>
    <r>
      <rPr>
        <b/>
        <sz val="11"/>
        <color theme="1"/>
        <rFont val="Calibri"/>
      </rPr>
      <t>1633</t>
    </r>
    <r>
      <rPr>
        <sz val="11"/>
        <color theme="1"/>
        <rFont val="Calibri"/>
      </rPr>
      <t>/1623/1614</t>
    </r>
  </si>
  <si>
    <r>
      <rPr>
        <sz val="11"/>
        <color theme="1"/>
        <rFont val="Calibri"/>
      </rPr>
      <t>1636</t>
    </r>
    <r>
      <rPr>
        <b/>
        <sz val="11"/>
        <color theme="1"/>
        <rFont val="Calibri"/>
      </rPr>
      <t>/1625</t>
    </r>
  </si>
  <si>
    <t>23/37</t>
  </si>
  <si>
    <t>1632/1629</t>
  </si>
  <si>
    <t>sigma2</t>
  </si>
  <si>
    <t>saprofit szlamu morskiego</t>
  </si>
  <si>
    <t>symbiont roslin</t>
  </si>
  <si>
    <t>saprofit patogen roslin</t>
  </si>
  <si>
    <t>patogen roslin</t>
  </si>
  <si>
    <t>patogen pluc</t>
  </si>
  <si>
    <t>metanogen obligatoryjny zjadacz octanow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</si>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</sst>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\-d"/>
    <numFmt numFmtId="166" formatCode="yyyy\.m"/>
    <numFmt numFmtId="167" formatCode="yy\.mm\.dd"/>
    <numFmt numFmtId="168" formatCode="yy\.m\.d"/>
  </numFmts>
  <fonts count="33">
    <font>
      <sz val="11"/>
      <color theme="1"/>
      <name val="Calibri"/>
      <family val="2"/>
      <scheme val="minor"/>
    </font>
    <font>
      <b/>
      <sz val="11"/>
      <color theme="1"/>
      <name val="Calibri"/>
    </font>
    <font>
      <i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i/>
      <sz val="11"/>
      <color theme="1"/>
      <name val="Calibri"/>
    </font>
    <font>
      <sz val="11"/>
      <color rgb="FF000000"/>
      <name val="Calibri"/>
    </font>
    <font>
      <sz val="11"/>
      <color rgb="FF434343"/>
      <name val="Calibri"/>
    </font>
    <font>
      <b/>
      <sz val="11"/>
      <color theme="1"/>
      <name val="Times New Roman"/>
    </font>
    <font>
      <sz val="10"/>
      <color theme="1"/>
      <name val="Roboto Mono"/>
    </font>
    <font>
      <sz val="11"/>
      <color theme="1"/>
      <name val="Times New Roman"/>
    </font>
    <font>
      <vertAlign val="subscript"/>
      <sz val="11"/>
      <color theme="1"/>
      <name val="Times New Roman"/>
    </font>
    <font>
      <u/>
      <sz val="11"/>
      <color rgb="FF0000FF"/>
      <name val="Arial"/>
    </font>
    <font>
      <u/>
      <sz val="11"/>
      <color rgb="FF1155CC"/>
      <name val="Arial"/>
    </font>
    <font>
      <u/>
      <sz val="11"/>
      <color rgb="FF0000FF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0"/>
      <color rgb="FF000000"/>
      <name val="Roboto Mono"/>
    </font>
    <font>
      <sz val="11"/>
      <color rgb="FF000000"/>
      <name val="Times New Roman"/>
    </font>
    <font>
      <vertAlign val="subscript"/>
      <sz val="11"/>
      <color rgb="FF000000"/>
      <name val="Times New Roman"/>
    </font>
    <font>
      <sz val="11"/>
      <color rgb="FF7F7F7F"/>
      <name val="Calibri"/>
    </font>
    <font>
      <sz val="10"/>
      <color rgb="FF7F7F7F"/>
      <name val="Roboto Mono"/>
    </font>
    <font>
      <sz val="11"/>
      <color rgb="FF000000"/>
      <name val="&quot;Times New Roman&quot;"/>
    </font>
    <font>
      <sz val="11"/>
      <color rgb="FF0000FF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rgb="FF6AA84F"/>
      <name val="Calibri"/>
    </font>
    <font>
      <sz val="9"/>
      <color theme="1"/>
      <name val="Calibri"/>
    </font>
    <font>
      <sz val="11"/>
      <color rgb="FF000000"/>
      <name val="Roboto"/>
    </font>
    <font>
      <sz val="11"/>
      <name val="Arial"/>
    </font>
    <font>
      <b/>
      <sz val="11"/>
      <name val="Arial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DFEFC"/>
        <bgColor rgb="FFFDFEF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10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12" fillId="0" borderId="0" xfId="0" applyFont="1"/>
    <xf numFmtId="0" fontId="14" fillId="0" borderId="0" xfId="0" applyFont="1" applyAlignment="1">
      <alignment horizontal="left"/>
    </xf>
    <xf numFmtId="0" fontId="13" fillId="0" borderId="0" xfId="0" applyFont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left"/>
    </xf>
    <xf numFmtId="165" fontId="3" fillId="0" borderId="0" xfId="0" applyNumberFormat="1" applyFont="1"/>
    <xf numFmtId="0" fontId="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 vertical="center" wrapText="1"/>
    </xf>
    <xf numFmtId="0" fontId="3" fillId="6" borderId="0" xfId="0" applyFont="1" applyFill="1" applyAlignment="1">
      <alignment horizontal="left"/>
    </xf>
    <xf numFmtId="0" fontId="6" fillId="6" borderId="0" xfId="0" applyFont="1" applyFill="1" applyAlignment="1">
      <alignment horizontal="center"/>
    </xf>
    <xf numFmtId="0" fontId="17" fillId="6" borderId="0" xfId="0" applyFont="1" applyFill="1" applyAlignment="1">
      <alignment horizontal="left"/>
    </xf>
    <xf numFmtId="0" fontId="18" fillId="6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166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23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6" fillId="0" borderId="0" xfId="0" applyFon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/>
    <xf numFmtId="168" fontId="6" fillId="0" borderId="0" xfId="0" applyNumberFormat="1" applyFont="1" applyAlignment="1">
      <alignment horizontal="center"/>
    </xf>
    <xf numFmtId="0" fontId="2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28" fillId="5" borderId="0" xfId="0" applyFont="1" applyFill="1"/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0" xfId="1"/>
    <xf numFmtId="49" fontId="32" fillId="0" borderId="0" xfId="0" applyNumberFormat="1" applyFont="1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Sclerotinia_sclerotiorum" TargetMode="External"/><Relationship Id="rId13" Type="http://schemas.openxmlformats.org/officeDocument/2006/relationships/hyperlink" Target="http://fungi.ensembl.org/Colletotrichum_gloeosporioides_cg_14_gca_000446055/Info/Index" TargetMode="External"/><Relationship Id="rId3" Type="http://schemas.openxmlformats.org/officeDocument/2006/relationships/hyperlink" Target="https://wiki.pestinfo.org/wiki/Coleophoma_(genus)" TargetMode="External"/><Relationship Id="rId7" Type="http://schemas.openxmlformats.org/officeDocument/2006/relationships/hyperlink" Target="https://en.wikipedia.org/wiki/Sclerotinia_sclerotiorum" TargetMode="External"/><Relationship Id="rId12" Type="http://schemas.openxmlformats.org/officeDocument/2006/relationships/hyperlink" Target="https://chemistry-europe.onlinelibrary.wiley.com/doi/full/10.1002/ejoc.201600297))" TargetMode="External"/><Relationship Id="rId2" Type="http://schemas.openxmlformats.org/officeDocument/2006/relationships/hyperlink" Target="https://horizon.documentation.ird.fr/exl-doc/pleins_textes/pleins_textes_5/b_fdi_31-32/34552.pdf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pubmed.ncbi.nlm.nih.gov/15312233/" TargetMode="External"/><Relationship Id="rId6" Type="http://schemas.openxmlformats.org/officeDocument/2006/relationships/hyperlink" Target="https://journals.plos.org/plosone/article?id=10.1371/journal.pone.0034854" TargetMode="External"/><Relationship Id="rId11" Type="http://schemas.openxmlformats.org/officeDocument/2006/relationships/hyperlink" Target="https://chemistry-europe.onlinelibrary.wiley.com/doi/full/10.1002/ejoc.201600297))" TargetMode="External"/><Relationship Id="rId5" Type="http://schemas.openxmlformats.org/officeDocument/2006/relationships/hyperlink" Target="https://horizon.documentation.ird.fr/exl-doc/pleins_textes/pleins_textes_5/b_fdi_31-32/34552.pdf" TargetMode="External"/><Relationship Id="rId15" Type="http://schemas.openxmlformats.org/officeDocument/2006/relationships/hyperlink" Target="https://www.ncbi.nlm.nih.gov/biosample/SAMEA1705940" TargetMode="External"/><Relationship Id="rId10" Type="http://schemas.openxmlformats.org/officeDocument/2006/relationships/hyperlink" Target="https://www.ncbi.nlm.nih.gov/biosample/SAMEA1705940" TargetMode="External"/><Relationship Id="rId4" Type="http://schemas.openxmlformats.org/officeDocument/2006/relationships/hyperlink" Target="https://pubmed.ncbi.nlm.nih.gov/11544234/" TargetMode="External"/><Relationship Id="rId9" Type="http://schemas.openxmlformats.org/officeDocument/2006/relationships/hyperlink" Target="https://pubmed.ncbi.nlm.nih.gov/15312233/" TargetMode="External"/><Relationship Id="rId14" Type="http://schemas.openxmlformats.org/officeDocument/2006/relationships/hyperlink" Target="http://fungi.ensembl.org/Colletotrichum_gloeosporioides_cg_14_gca_000446055/Info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1D3E-5942-4B40-9148-030B8A7CCE45}">
  <dimension ref="A1:O25"/>
  <sheetViews>
    <sheetView tabSelected="1" topLeftCell="G10" workbookViewId="0">
      <selection activeCell="L13" sqref="L13"/>
    </sheetView>
  </sheetViews>
  <sheetFormatPr defaultRowHeight="14.5"/>
  <cols>
    <col min="1" max="1" width="3.1796875" bestFit="1" customWidth="1"/>
    <col min="2" max="2" width="10.1796875" bestFit="1" customWidth="1"/>
    <col min="3" max="3" width="22.08984375" bestFit="1" customWidth="1"/>
    <col min="4" max="4" width="50.08984375" bestFit="1" customWidth="1"/>
    <col min="5" max="5" width="8.90625" customWidth="1"/>
    <col min="6" max="6" width="6.81640625" bestFit="1" customWidth="1"/>
    <col min="7" max="7" width="6.54296875" bestFit="1" customWidth="1"/>
    <col min="8" max="8" width="8.6328125" bestFit="1" customWidth="1"/>
    <col min="9" max="9" width="52" bestFit="1" customWidth="1"/>
    <col min="10" max="10" width="36.6328125" bestFit="1" customWidth="1"/>
    <col min="11" max="11" width="17.36328125" bestFit="1" customWidth="1"/>
    <col min="12" max="12" width="19.81640625" bestFit="1" customWidth="1"/>
    <col min="13" max="13" width="255.6328125" bestFit="1" customWidth="1"/>
  </cols>
  <sheetData>
    <row r="1" spans="1:15" ht="28.5" thickBot="1">
      <c r="A1" s="11" t="s">
        <v>27</v>
      </c>
      <c r="B1" s="2" t="s">
        <v>0</v>
      </c>
      <c r="C1" s="2" t="s">
        <v>28</v>
      </c>
      <c r="D1" s="2" t="s">
        <v>29</v>
      </c>
      <c r="E1" s="12" t="s">
        <v>30</v>
      </c>
      <c r="F1" s="13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5" t="s">
        <v>38</v>
      </c>
      <c r="N1" s="16"/>
      <c r="O1" s="16"/>
    </row>
    <row r="2" spans="1:15" ht="34">
      <c r="A2" s="17">
        <v>1</v>
      </c>
      <c r="B2" s="18" t="s">
        <v>39</v>
      </c>
      <c r="C2" s="19" t="s">
        <v>40</v>
      </c>
      <c r="D2" s="19" t="s">
        <v>41</v>
      </c>
      <c r="E2" s="20" t="s">
        <v>42</v>
      </c>
      <c r="F2" s="20" t="s">
        <v>43</v>
      </c>
      <c r="G2" s="9" t="s">
        <v>44</v>
      </c>
      <c r="H2" s="9" t="s">
        <v>45</v>
      </c>
      <c r="I2" s="9" t="s">
        <v>46</v>
      </c>
      <c r="J2" s="9" t="s">
        <v>322</v>
      </c>
      <c r="K2" s="9" t="s">
        <v>47</v>
      </c>
      <c r="L2" s="4"/>
      <c r="M2" s="21" t="s">
        <v>48</v>
      </c>
    </row>
    <row r="3" spans="1:15" ht="34">
      <c r="A3" s="17">
        <v>2</v>
      </c>
      <c r="B3" s="18" t="s">
        <v>49</v>
      </c>
      <c r="C3" s="19" t="s">
        <v>50</v>
      </c>
      <c r="D3" s="19" t="s">
        <v>51</v>
      </c>
      <c r="E3" s="20" t="s">
        <v>52</v>
      </c>
      <c r="F3" s="20" t="s">
        <v>53</v>
      </c>
      <c r="G3" s="9" t="s">
        <v>54</v>
      </c>
      <c r="H3" s="9" t="s">
        <v>45</v>
      </c>
      <c r="I3" s="22" t="s">
        <v>55</v>
      </c>
      <c r="J3" s="9" t="s">
        <v>323</v>
      </c>
      <c r="K3" s="9" t="s">
        <v>56</v>
      </c>
      <c r="L3" s="61" t="s">
        <v>327</v>
      </c>
      <c r="M3" s="23" t="s">
        <v>57</v>
      </c>
    </row>
    <row r="4" spans="1:15" ht="34">
      <c r="A4" s="17">
        <v>3</v>
      </c>
      <c r="B4" s="18" t="s">
        <v>58</v>
      </c>
      <c r="C4" s="19" t="s">
        <v>59</v>
      </c>
      <c r="D4" s="19" t="s">
        <v>60</v>
      </c>
      <c r="E4" s="20" t="s">
        <v>61</v>
      </c>
      <c r="F4" s="20" t="s">
        <v>62</v>
      </c>
      <c r="G4" s="9" t="s">
        <v>63</v>
      </c>
      <c r="H4" s="9" t="s">
        <v>64</v>
      </c>
      <c r="I4" s="22" t="s">
        <v>65</v>
      </c>
      <c r="J4" s="9" t="s">
        <v>326</v>
      </c>
      <c r="K4" s="9" t="s">
        <v>66</v>
      </c>
      <c r="L4" s="4" t="s">
        <v>67</v>
      </c>
      <c r="M4" s="24" t="s">
        <v>68</v>
      </c>
    </row>
    <row r="5" spans="1:15" ht="34">
      <c r="A5" s="17">
        <v>4</v>
      </c>
      <c r="B5" s="18" t="s">
        <v>69</v>
      </c>
      <c r="C5" s="19" t="s">
        <v>70</v>
      </c>
      <c r="D5" s="19" t="s">
        <v>71</v>
      </c>
      <c r="E5" s="20" t="s">
        <v>72</v>
      </c>
      <c r="F5" s="20" t="s">
        <v>73</v>
      </c>
      <c r="G5" s="9" t="s">
        <v>74</v>
      </c>
      <c r="H5" s="9" t="s">
        <v>75</v>
      </c>
      <c r="I5" s="22" t="s">
        <v>76</v>
      </c>
      <c r="J5" s="9" t="s">
        <v>324</v>
      </c>
      <c r="K5" s="9" t="s">
        <v>47</v>
      </c>
      <c r="L5" s="4"/>
      <c r="M5" s="25" t="s">
        <v>77</v>
      </c>
    </row>
    <row r="6" spans="1:15" ht="34">
      <c r="A6" s="26">
        <v>5</v>
      </c>
      <c r="B6" s="4" t="s">
        <v>78</v>
      </c>
      <c r="C6" s="27" t="s">
        <v>79</v>
      </c>
      <c r="D6" s="27" t="s">
        <v>80</v>
      </c>
      <c r="E6" s="28" t="s">
        <v>81</v>
      </c>
      <c r="F6" s="28" t="s">
        <v>82</v>
      </c>
      <c r="G6" s="9" t="s">
        <v>74</v>
      </c>
      <c r="H6" s="9" t="s">
        <v>75</v>
      </c>
      <c r="I6" s="22" t="s">
        <v>83</v>
      </c>
      <c r="J6" s="9" t="s">
        <v>325</v>
      </c>
      <c r="K6" s="9" t="s">
        <v>84</v>
      </c>
      <c r="L6" s="4"/>
      <c r="M6" s="23" t="s">
        <v>85</v>
      </c>
    </row>
    <row r="7" spans="1:15" ht="34">
      <c r="A7" s="26">
        <v>6</v>
      </c>
      <c r="B7" s="4" t="s">
        <v>86</v>
      </c>
      <c r="C7" s="27" t="s">
        <v>87</v>
      </c>
      <c r="D7" s="27" t="s">
        <v>88</v>
      </c>
      <c r="E7" s="28" t="s">
        <v>89</v>
      </c>
      <c r="F7" s="28" t="s">
        <v>90</v>
      </c>
      <c r="G7" s="9" t="s">
        <v>44</v>
      </c>
      <c r="H7" s="9" t="s">
        <v>64</v>
      </c>
      <c r="I7" s="9" t="s">
        <v>46</v>
      </c>
      <c r="J7" s="9" t="s">
        <v>322</v>
      </c>
      <c r="K7" s="9" t="s">
        <v>47</v>
      </c>
      <c r="L7" s="4"/>
      <c r="M7" s="21" t="s">
        <v>48</v>
      </c>
    </row>
    <row r="8" spans="1:15" ht="34">
      <c r="A8" s="26">
        <v>7</v>
      </c>
      <c r="B8" s="4" t="s">
        <v>91</v>
      </c>
      <c r="C8" s="27"/>
      <c r="D8" s="27" t="s">
        <v>92</v>
      </c>
      <c r="E8" s="28" t="s">
        <v>93</v>
      </c>
      <c r="F8" s="28" t="s">
        <v>94</v>
      </c>
      <c r="G8" s="9" t="s">
        <v>44</v>
      </c>
      <c r="H8" s="9" t="s">
        <v>64</v>
      </c>
      <c r="I8" s="9" t="s">
        <v>46</v>
      </c>
      <c r="J8" s="9" t="s">
        <v>322</v>
      </c>
      <c r="K8" s="9" t="s">
        <v>47</v>
      </c>
      <c r="L8" s="4"/>
      <c r="M8" s="21" t="s">
        <v>48</v>
      </c>
    </row>
    <row r="9" spans="1:15" ht="34">
      <c r="A9" s="26">
        <v>8</v>
      </c>
      <c r="B9" s="4" t="s">
        <v>95</v>
      </c>
      <c r="C9" s="27" t="s">
        <v>96</v>
      </c>
      <c r="D9" s="27" t="s">
        <v>97</v>
      </c>
      <c r="E9" s="28" t="s">
        <v>98</v>
      </c>
      <c r="F9" s="28" t="s">
        <v>99</v>
      </c>
      <c r="G9" s="9" t="s">
        <v>63</v>
      </c>
      <c r="H9" s="9" t="s">
        <v>45</v>
      </c>
      <c r="I9" s="22" t="s">
        <v>65</v>
      </c>
      <c r="J9" s="9" t="s">
        <v>326</v>
      </c>
      <c r="K9" s="9" t="s">
        <v>66</v>
      </c>
      <c r="L9" s="4" t="s">
        <v>67</v>
      </c>
      <c r="M9" s="24" t="s">
        <v>68</v>
      </c>
    </row>
    <row r="10" spans="1:15" ht="34">
      <c r="A10" s="26">
        <v>9</v>
      </c>
      <c r="B10" s="4" t="s">
        <v>100</v>
      </c>
      <c r="C10" s="27" t="s">
        <v>101</v>
      </c>
      <c r="D10" s="27" t="s">
        <v>102</v>
      </c>
      <c r="E10" s="28" t="s">
        <v>103</v>
      </c>
      <c r="F10" s="28" t="s">
        <v>104</v>
      </c>
      <c r="G10" s="9" t="s">
        <v>54</v>
      </c>
      <c r="H10" s="9" t="s">
        <v>64</v>
      </c>
      <c r="I10" s="22" t="s">
        <v>55</v>
      </c>
      <c r="J10" s="9" t="s">
        <v>323</v>
      </c>
      <c r="K10" s="9" t="s">
        <v>56</v>
      </c>
      <c r="L10" s="61" t="s">
        <v>327</v>
      </c>
      <c r="M10" s="60" t="s">
        <v>105</v>
      </c>
    </row>
    <row r="11" spans="1:15" ht="34">
      <c r="A11" s="26">
        <v>10</v>
      </c>
      <c r="B11" s="4" t="s">
        <v>106</v>
      </c>
      <c r="C11" s="27" t="s">
        <v>107</v>
      </c>
      <c r="D11" s="27" t="s">
        <v>108</v>
      </c>
      <c r="E11" s="28" t="s">
        <v>109</v>
      </c>
      <c r="F11" s="28" t="s">
        <v>110</v>
      </c>
      <c r="G11" s="9" t="s">
        <v>320</v>
      </c>
      <c r="H11" s="9" t="s">
        <v>45</v>
      </c>
      <c r="I11" s="22" t="s">
        <v>111</v>
      </c>
      <c r="J11" s="9" t="s">
        <v>324</v>
      </c>
      <c r="K11" s="9" t="s">
        <v>112</v>
      </c>
      <c r="L11" s="4"/>
      <c r="M11" s="23" t="s">
        <v>113</v>
      </c>
    </row>
    <row r="12" spans="1:15" ht="34">
      <c r="A12" s="26">
        <v>11</v>
      </c>
      <c r="B12" s="4" t="s">
        <v>114</v>
      </c>
      <c r="C12" s="27" t="s">
        <v>115</v>
      </c>
      <c r="D12" s="27" t="s">
        <v>116</v>
      </c>
      <c r="E12" s="28" t="s">
        <v>117</v>
      </c>
      <c r="F12" s="28" t="s">
        <v>118</v>
      </c>
      <c r="G12" s="9" t="s">
        <v>320</v>
      </c>
      <c r="H12" s="9" t="s">
        <v>75</v>
      </c>
      <c r="I12" s="22" t="s">
        <v>111</v>
      </c>
      <c r="J12" s="9" t="s">
        <v>324</v>
      </c>
      <c r="K12" s="9" t="s">
        <v>112</v>
      </c>
      <c r="L12" s="4"/>
      <c r="M12" s="23" t="s">
        <v>113</v>
      </c>
    </row>
    <row r="13" spans="1:15" ht="34">
      <c r="A13" s="26">
        <v>12</v>
      </c>
      <c r="B13" s="4" t="s">
        <v>119</v>
      </c>
      <c r="C13" s="27" t="s">
        <v>120</v>
      </c>
      <c r="D13" s="27" t="s">
        <v>121</v>
      </c>
      <c r="E13" s="28" t="s">
        <v>122</v>
      </c>
      <c r="F13" s="28" t="s">
        <v>123</v>
      </c>
      <c r="G13" s="9" t="s">
        <v>54</v>
      </c>
      <c r="H13" s="9" t="s">
        <v>64</v>
      </c>
      <c r="I13" s="22" t="s">
        <v>55</v>
      </c>
      <c r="J13" s="9" t="s">
        <v>323</v>
      </c>
      <c r="K13" s="9" t="s">
        <v>56</v>
      </c>
      <c r="L13" s="61" t="s">
        <v>327</v>
      </c>
      <c r="M13" s="23" t="s">
        <v>124</v>
      </c>
    </row>
    <row r="14" spans="1:15" ht="34">
      <c r="A14" s="26">
        <v>13</v>
      </c>
      <c r="B14" s="4" t="s">
        <v>125</v>
      </c>
      <c r="C14" s="27" t="s">
        <v>126</v>
      </c>
      <c r="D14" s="27" t="s">
        <v>127</v>
      </c>
      <c r="E14" s="28" t="s">
        <v>128</v>
      </c>
      <c r="F14" s="28" t="s">
        <v>129</v>
      </c>
      <c r="G14" s="9" t="s">
        <v>130</v>
      </c>
      <c r="H14" s="9" t="s">
        <v>45</v>
      </c>
      <c r="I14" s="22" t="s">
        <v>131</v>
      </c>
      <c r="J14" s="9" t="s">
        <v>132</v>
      </c>
      <c r="K14" s="9" t="s">
        <v>47</v>
      </c>
      <c r="L14" s="4"/>
      <c r="M14" s="23" t="s">
        <v>133</v>
      </c>
    </row>
    <row r="15" spans="1:15" ht="34">
      <c r="A15" s="26">
        <v>14</v>
      </c>
      <c r="B15" s="4" t="s">
        <v>134</v>
      </c>
      <c r="C15" s="27" t="s">
        <v>135</v>
      </c>
      <c r="D15" s="27" t="s">
        <v>136</v>
      </c>
      <c r="E15" s="28" t="s">
        <v>137</v>
      </c>
      <c r="F15" s="28" t="s">
        <v>138</v>
      </c>
      <c r="G15" s="9" t="s">
        <v>130</v>
      </c>
      <c r="H15" s="9" t="s">
        <v>45</v>
      </c>
      <c r="I15" s="22" t="s">
        <v>139</v>
      </c>
      <c r="J15" s="21" t="s">
        <v>321</v>
      </c>
      <c r="K15" s="29" t="str">
        <f t="shared" ref="K15:K16" si="0">"6-28 =&gt; ok. 15-20"</f>
        <v>6-28 =&gt; ok. 15-20</v>
      </c>
      <c r="L15" s="4"/>
      <c r="M15" s="9" t="s">
        <v>140</v>
      </c>
    </row>
    <row r="16" spans="1:15" ht="34">
      <c r="A16" s="26">
        <v>15</v>
      </c>
      <c r="B16" s="4" t="s">
        <v>141</v>
      </c>
      <c r="C16" s="27" t="s">
        <v>142</v>
      </c>
      <c r="D16" s="27" t="s">
        <v>143</v>
      </c>
      <c r="E16" s="28" t="s">
        <v>144</v>
      </c>
      <c r="F16" s="28" t="s">
        <v>145</v>
      </c>
      <c r="G16" s="9" t="s">
        <v>130</v>
      </c>
      <c r="H16" s="9" t="s">
        <v>64</v>
      </c>
      <c r="I16" s="22" t="s">
        <v>139</v>
      </c>
      <c r="J16" s="21" t="s">
        <v>321</v>
      </c>
      <c r="K16" s="29" t="str">
        <f t="shared" si="0"/>
        <v>6-28 =&gt; ok. 15-20</v>
      </c>
      <c r="L16" s="4"/>
      <c r="M16" s="9" t="s">
        <v>140</v>
      </c>
    </row>
    <row r="17" spans="1:13" ht="34">
      <c r="A17" s="26">
        <v>16</v>
      </c>
      <c r="B17" s="4" t="s">
        <v>146</v>
      </c>
      <c r="C17" s="27" t="s">
        <v>147</v>
      </c>
      <c r="D17" s="27" t="s">
        <v>148</v>
      </c>
      <c r="E17" s="28" t="s">
        <v>149</v>
      </c>
      <c r="F17" s="28" t="s">
        <v>150</v>
      </c>
      <c r="G17" s="9" t="s">
        <v>151</v>
      </c>
      <c r="H17" s="9" t="s">
        <v>45</v>
      </c>
      <c r="I17" s="9" t="s">
        <v>152</v>
      </c>
      <c r="J17" s="9" t="s">
        <v>132</v>
      </c>
      <c r="K17" s="30" t="str">
        <f t="shared" ref="K17:K18" si="1">"3-30 =&gt; ok. 20"</f>
        <v>3-30 =&gt; ok. 20</v>
      </c>
      <c r="L17" s="4" t="s">
        <v>153</v>
      </c>
      <c r="M17" s="23" t="s">
        <v>154</v>
      </c>
    </row>
    <row r="18" spans="1:13" ht="34">
      <c r="A18" s="26">
        <v>17</v>
      </c>
      <c r="B18" s="4" t="s">
        <v>155</v>
      </c>
      <c r="C18" s="27" t="s">
        <v>156</v>
      </c>
      <c r="D18" s="27" t="s">
        <v>157</v>
      </c>
      <c r="E18" s="28" t="s">
        <v>158</v>
      </c>
      <c r="F18" s="28" t="s">
        <v>159</v>
      </c>
      <c r="G18" s="9" t="s">
        <v>151</v>
      </c>
      <c r="H18" s="9" t="s">
        <v>64</v>
      </c>
      <c r="I18" s="9" t="s">
        <v>152</v>
      </c>
      <c r="J18" s="9" t="s">
        <v>132</v>
      </c>
      <c r="K18" s="30" t="str">
        <f t="shared" si="1"/>
        <v>3-30 =&gt; ok. 20</v>
      </c>
      <c r="L18" s="4" t="s">
        <v>153</v>
      </c>
      <c r="M18" s="23" t="s">
        <v>154</v>
      </c>
    </row>
    <row r="19" spans="1:13" ht="34">
      <c r="A19" s="26">
        <v>18</v>
      </c>
      <c r="B19" s="4" t="s">
        <v>160</v>
      </c>
      <c r="C19" s="27" t="s">
        <v>161</v>
      </c>
      <c r="D19" s="27" t="s">
        <v>162</v>
      </c>
      <c r="E19" s="28" t="s">
        <v>163</v>
      </c>
      <c r="F19" s="28" t="s">
        <v>164</v>
      </c>
      <c r="G19" s="9" t="s">
        <v>165</v>
      </c>
      <c r="H19" s="9" t="s">
        <v>166</v>
      </c>
      <c r="I19" s="22" t="s">
        <v>167</v>
      </c>
      <c r="J19" s="9" t="s">
        <v>168</v>
      </c>
      <c r="K19" s="9" t="s">
        <v>169</v>
      </c>
      <c r="L19" s="4"/>
      <c r="M19" s="9" t="s">
        <v>170</v>
      </c>
    </row>
    <row r="20" spans="1:13" ht="34">
      <c r="A20" s="26">
        <v>19</v>
      </c>
      <c r="B20" s="31" t="s">
        <v>171</v>
      </c>
      <c r="C20" s="32" t="s">
        <v>172</v>
      </c>
      <c r="D20" s="32" t="s">
        <v>173</v>
      </c>
      <c r="E20" s="33" t="s">
        <v>174</v>
      </c>
      <c r="F20" s="33" t="s">
        <v>175</v>
      </c>
      <c r="G20" s="9" t="s">
        <v>165</v>
      </c>
      <c r="H20" s="9" t="s">
        <v>64</v>
      </c>
      <c r="I20" s="22" t="s">
        <v>167</v>
      </c>
      <c r="J20" s="9" t="s">
        <v>168</v>
      </c>
      <c r="K20" s="9" t="s">
        <v>169</v>
      </c>
      <c r="L20" s="4"/>
      <c r="M20" s="9" t="s">
        <v>170</v>
      </c>
    </row>
    <row r="21" spans="1:13" ht="34">
      <c r="A21" s="34">
        <v>20</v>
      </c>
      <c r="B21" s="35" t="s">
        <v>176</v>
      </c>
      <c r="C21" s="36" t="s">
        <v>177</v>
      </c>
      <c r="D21" s="36" t="s">
        <v>178</v>
      </c>
      <c r="E21" s="37" t="s">
        <v>179</v>
      </c>
      <c r="F21" s="37" t="s">
        <v>180</v>
      </c>
      <c r="G21" s="9" t="s">
        <v>181</v>
      </c>
      <c r="H21" s="9" t="s">
        <v>45</v>
      </c>
      <c r="I21" s="22" t="s">
        <v>182</v>
      </c>
      <c r="J21" s="9" t="s">
        <v>324</v>
      </c>
      <c r="K21" s="9" t="s">
        <v>183</v>
      </c>
      <c r="L21" s="4" t="s">
        <v>184</v>
      </c>
      <c r="M21" s="23" t="s">
        <v>185</v>
      </c>
    </row>
    <row r="22" spans="1:13" ht="34">
      <c r="A22" s="34">
        <v>21</v>
      </c>
      <c r="B22" s="35" t="s">
        <v>186</v>
      </c>
      <c r="C22" s="36" t="s">
        <v>187</v>
      </c>
      <c r="D22" s="36" t="s">
        <v>188</v>
      </c>
      <c r="E22" s="37" t="s">
        <v>189</v>
      </c>
      <c r="F22" s="37" t="s">
        <v>190</v>
      </c>
      <c r="G22" s="9" t="s">
        <v>181</v>
      </c>
      <c r="H22" s="9" t="s">
        <v>64</v>
      </c>
      <c r="I22" s="22" t="s">
        <v>182</v>
      </c>
      <c r="J22" s="9" t="s">
        <v>324</v>
      </c>
      <c r="K22" s="9" t="s">
        <v>183</v>
      </c>
      <c r="L22" s="4" t="s">
        <v>184</v>
      </c>
      <c r="M22" s="23" t="s">
        <v>185</v>
      </c>
    </row>
    <row r="23" spans="1:13" ht="34">
      <c r="A23" s="26">
        <v>22</v>
      </c>
      <c r="B23" s="31" t="s">
        <v>191</v>
      </c>
      <c r="C23" s="32" t="s">
        <v>87</v>
      </c>
      <c r="D23" s="32" t="s">
        <v>92</v>
      </c>
      <c r="E23" s="33" t="s">
        <v>192</v>
      </c>
      <c r="F23" s="33" t="s">
        <v>94</v>
      </c>
      <c r="G23" s="9" t="s">
        <v>44</v>
      </c>
      <c r="H23" s="9" t="s">
        <v>64</v>
      </c>
      <c r="I23" s="9" t="s">
        <v>46</v>
      </c>
      <c r="J23" s="9" t="s">
        <v>322</v>
      </c>
      <c r="K23" s="9" t="s">
        <v>47</v>
      </c>
      <c r="L23" s="4"/>
    </row>
    <row r="24" spans="1:13">
      <c r="A24" s="26">
        <v>23</v>
      </c>
      <c r="B24" s="38" t="s">
        <v>193</v>
      </c>
      <c r="C24" s="39" t="s">
        <v>194</v>
      </c>
      <c r="D24" s="39" t="s">
        <v>195</v>
      </c>
      <c r="E24" s="4"/>
      <c r="F24" s="40">
        <v>228460</v>
      </c>
      <c r="G24" s="9" t="s">
        <v>130</v>
      </c>
      <c r="H24" s="9" t="s">
        <v>64</v>
      </c>
      <c r="I24" s="22" t="s">
        <v>131</v>
      </c>
      <c r="J24" s="9" t="s">
        <v>132</v>
      </c>
      <c r="K24" s="9" t="s">
        <v>47</v>
      </c>
      <c r="L24" s="4"/>
      <c r="M24" s="23" t="s">
        <v>133</v>
      </c>
    </row>
    <row r="25" spans="1:13">
      <c r="A25" s="26">
        <v>24</v>
      </c>
      <c r="B25" s="38" t="s">
        <v>196</v>
      </c>
      <c r="C25" s="39" t="s">
        <v>197</v>
      </c>
      <c r="D25" s="39" t="s">
        <v>198</v>
      </c>
      <c r="E25" s="4"/>
      <c r="F25" s="41" t="s">
        <v>199</v>
      </c>
      <c r="G25" s="9" t="s">
        <v>165</v>
      </c>
      <c r="H25" s="9" t="s">
        <v>200</v>
      </c>
      <c r="I25" s="22" t="s">
        <v>167</v>
      </c>
      <c r="J25" s="9" t="s">
        <v>168</v>
      </c>
      <c r="K25" s="9" t="s">
        <v>169</v>
      </c>
      <c r="L25" s="4"/>
      <c r="M25" s="9" t="s">
        <v>170</v>
      </c>
    </row>
  </sheetData>
  <hyperlinks>
    <hyperlink ref="M3" r:id="rId1" xr:uid="{AE082EA6-DC9F-46F0-89BC-03A068626690}"/>
    <hyperlink ref="M4" r:id="rId2" xr:uid="{7DAD8C43-AB27-4B63-8050-0DCE85FA2F31}"/>
    <hyperlink ref="M5" r:id="rId3" xr:uid="{50E9A826-2681-4CF1-82CF-933F04AC6251}"/>
    <hyperlink ref="M6" r:id="rId4" xr:uid="{D5A05538-B4A1-49E0-84B6-24788B111EF5}"/>
    <hyperlink ref="M9" r:id="rId5" xr:uid="{BEFE1A19-5873-46C4-A862-B0F1763399DC}"/>
    <hyperlink ref="M10" r:id="rId6" xr:uid="{72031387-8FFA-4296-8A40-3BB1738C8917}"/>
    <hyperlink ref="M11" r:id="rId7" xr:uid="{7AFB56D7-8339-4EC1-85C3-4D8783F98BDA}"/>
    <hyperlink ref="M12" r:id="rId8" xr:uid="{35C2F2EF-2D46-4F82-9237-FC33088EDE92}"/>
    <hyperlink ref="M13" r:id="rId9" xr:uid="{0F81ECDB-C88B-4AD2-888F-7A31EECD65F8}"/>
    <hyperlink ref="M14" r:id="rId10" xr:uid="{A93B2CBF-A5B6-4C09-A6D4-814BABCF4118}"/>
    <hyperlink ref="M17" r:id="rId11" xr:uid="{395940E9-8641-41CF-B208-4B3C00FA41F5}"/>
    <hyperlink ref="M18" r:id="rId12" xr:uid="{44444100-661E-451C-8A27-144827DF2CBA}"/>
    <hyperlink ref="M21" r:id="rId13" xr:uid="{AD3E1350-B49A-4DDF-90B9-F1C3F3E8FD91}"/>
    <hyperlink ref="M22" r:id="rId14" xr:uid="{363D5DC8-DEB9-4D81-9BDB-3A70BE04776A}"/>
    <hyperlink ref="M24" r:id="rId15" xr:uid="{75E4BF66-BF83-4FEF-A6C7-8C9A19278BEE}"/>
  </hyperlinks>
  <pageMargins left="0.7" right="0.7" top="0.75" bottom="0.75" header="0.3" footer="0.3"/>
  <pageSetup paperSize="9" orientation="portrait" horizontalDpi="4294967295" verticalDpi="4294967295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42CA-2A27-48F7-950D-DC32A5B5BCE5}">
  <dimension ref="A1:K218"/>
  <sheetViews>
    <sheetView workbookViewId="0">
      <selection activeCell="A2" sqref="A2:XFD2"/>
    </sheetView>
  </sheetViews>
  <sheetFormatPr defaultRowHeight="14.5"/>
  <cols>
    <col min="1" max="1" width="3.1796875" bestFit="1" customWidth="1"/>
    <col min="2" max="2" width="10.1796875" bestFit="1" customWidth="1"/>
    <col min="3" max="3" width="7.90625" bestFit="1" customWidth="1"/>
    <col min="4" max="4" width="15.26953125" bestFit="1" customWidth="1"/>
    <col min="5" max="5" width="8.1796875" bestFit="1" customWidth="1"/>
    <col min="6" max="6" width="14.08984375" bestFit="1" customWidth="1"/>
    <col min="7" max="7" width="12.36328125" bestFit="1" customWidth="1"/>
    <col min="8" max="8" width="14" bestFit="1" customWidth="1"/>
    <col min="9" max="9" width="19.453125" bestFit="1" customWidth="1"/>
    <col min="10" max="10" width="10.90625" bestFit="1" customWidth="1"/>
    <col min="11" max="11" width="50.6328125" bestFit="1" customWidth="1"/>
  </cols>
  <sheetData>
    <row r="1" spans="1:11" ht="58.5" thickBot="1">
      <c r="A1" s="1" t="s">
        <v>27</v>
      </c>
      <c r="B1" s="2" t="s">
        <v>0</v>
      </c>
      <c r="C1" s="14" t="s">
        <v>201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1" t="s">
        <v>8</v>
      </c>
    </row>
    <row r="2" spans="1:11">
      <c r="A2" s="4">
        <v>1</v>
      </c>
      <c r="B2" s="4" t="s">
        <v>39</v>
      </c>
      <c r="C2" s="42">
        <v>45342</v>
      </c>
      <c r="D2" s="4" t="s">
        <v>202</v>
      </c>
      <c r="E2" s="4"/>
      <c r="G2" s="4">
        <v>24</v>
      </c>
      <c r="H2" s="4" t="s">
        <v>12</v>
      </c>
      <c r="I2" s="7">
        <v>1625</v>
      </c>
      <c r="J2" s="8"/>
      <c r="K2" s="4"/>
    </row>
    <row r="3" spans="1:11">
      <c r="A3" s="4">
        <v>1</v>
      </c>
      <c r="B3" s="4" t="s">
        <v>39</v>
      </c>
      <c r="C3" s="42">
        <v>45342</v>
      </c>
      <c r="D3" s="4" t="s">
        <v>203</v>
      </c>
      <c r="E3" s="4">
        <v>10</v>
      </c>
      <c r="F3" s="9" t="s">
        <v>204</v>
      </c>
      <c r="G3" s="4">
        <v>24</v>
      </c>
      <c r="H3" s="4" t="s">
        <v>12</v>
      </c>
      <c r="I3" s="7">
        <v>1624</v>
      </c>
      <c r="J3" s="8" t="s">
        <v>13</v>
      </c>
    </row>
    <row r="4" spans="1:11">
      <c r="A4" s="4">
        <v>1</v>
      </c>
      <c r="B4" s="4" t="s">
        <v>39</v>
      </c>
      <c r="C4" s="42">
        <v>45342</v>
      </c>
      <c r="D4" s="43" t="s">
        <v>205</v>
      </c>
      <c r="E4" s="4">
        <v>2.5</v>
      </c>
      <c r="F4" s="9" t="s">
        <v>204</v>
      </c>
      <c r="G4" s="4">
        <v>24</v>
      </c>
      <c r="H4" s="4" t="s">
        <v>12</v>
      </c>
      <c r="I4" s="7">
        <v>1624</v>
      </c>
      <c r="J4" s="8" t="s">
        <v>13</v>
      </c>
    </row>
    <row r="5" spans="1:11">
      <c r="A5" s="4">
        <v>1</v>
      </c>
      <c r="B5" s="4" t="s">
        <v>39</v>
      </c>
      <c r="C5" s="42">
        <v>45708</v>
      </c>
      <c r="D5" s="43" t="s">
        <v>205</v>
      </c>
      <c r="E5" s="4">
        <v>2.5</v>
      </c>
      <c r="F5" s="9" t="s">
        <v>206</v>
      </c>
      <c r="G5" s="4">
        <v>24</v>
      </c>
      <c r="H5" s="4" t="s">
        <v>12</v>
      </c>
      <c r="I5" s="7">
        <v>1624</v>
      </c>
      <c r="J5" s="8" t="s">
        <v>13</v>
      </c>
      <c r="K5" s="9" t="s">
        <v>207</v>
      </c>
    </row>
    <row r="6" spans="1:11">
      <c r="A6" s="4">
        <v>1</v>
      </c>
      <c r="B6" s="4" t="s">
        <v>39</v>
      </c>
      <c r="C6" s="42">
        <v>46438</v>
      </c>
      <c r="D6" s="4" t="s">
        <v>202</v>
      </c>
      <c r="E6" s="4"/>
      <c r="G6" s="4">
        <v>24</v>
      </c>
      <c r="H6" s="4" t="s">
        <v>12</v>
      </c>
      <c r="I6" s="7">
        <v>1625</v>
      </c>
      <c r="J6" s="8"/>
      <c r="K6" s="9" t="s">
        <v>208</v>
      </c>
    </row>
    <row r="7" spans="1:11">
      <c r="A7" s="4">
        <v>1</v>
      </c>
      <c r="B7" s="4" t="s">
        <v>39</v>
      </c>
      <c r="C7" s="42">
        <v>46438</v>
      </c>
      <c r="D7" s="4" t="s">
        <v>202</v>
      </c>
      <c r="E7" s="4"/>
      <c r="G7" s="4">
        <v>37</v>
      </c>
      <c r="H7" s="4" t="s">
        <v>12</v>
      </c>
      <c r="I7" s="7">
        <v>1625</v>
      </c>
      <c r="J7" s="8"/>
      <c r="K7" s="9" t="s">
        <v>208</v>
      </c>
    </row>
    <row r="8" spans="1:11">
      <c r="A8" s="4">
        <v>1</v>
      </c>
      <c r="B8" s="4" t="s">
        <v>39</v>
      </c>
      <c r="C8" s="42">
        <v>46438</v>
      </c>
      <c r="D8" s="4" t="s">
        <v>209</v>
      </c>
      <c r="E8" s="4">
        <v>2</v>
      </c>
      <c r="F8" s="9" t="s">
        <v>204</v>
      </c>
      <c r="G8" s="4">
        <v>20</v>
      </c>
      <c r="H8" s="4" t="s">
        <v>12</v>
      </c>
      <c r="I8" s="7">
        <v>1654</v>
      </c>
      <c r="J8" s="8" t="s">
        <v>210</v>
      </c>
    </row>
    <row r="9" spans="1:11">
      <c r="A9" s="4">
        <v>1</v>
      </c>
      <c r="B9" s="4" t="s">
        <v>39</v>
      </c>
      <c r="C9" s="42">
        <v>46438</v>
      </c>
      <c r="D9" s="4" t="s">
        <v>209</v>
      </c>
      <c r="E9" s="4">
        <v>2</v>
      </c>
      <c r="F9" s="9" t="s">
        <v>204</v>
      </c>
      <c r="G9" s="4">
        <v>37</v>
      </c>
      <c r="H9" s="4" t="s">
        <v>12</v>
      </c>
      <c r="I9" s="4" t="s">
        <v>211</v>
      </c>
      <c r="J9" s="8" t="s">
        <v>13</v>
      </c>
    </row>
    <row r="10" spans="1:11">
      <c r="A10" s="4">
        <v>1</v>
      </c>
      <c r="B10" s="4" t="s">
        <v>39</v>
      </c>
      <c r="C10" s="42">
        <v>46803</v>
      </c>
      <c r="D10" s="4" t="s">
        <v>209</v>
      </c>
      <c r="E10" s="4">
        <v>2</v>
      </c>
      <c r="F10" s="9" t="s">
        <v>206</v>
      </c>
      <c r="G10" s="44">
        <v>20</v>
      </c>
      <c r="H10" s="4" t="s">
        <v>12</v>
      </c>
      <c r="I10" s="4" t="s">
        <v>212</v>
      </c>
      <c r="J10" s="8"/>
      <c r="K10" s="9" t="s">
        <v>207</v>
      </c>
    </row>
    <row r="11" spans="1:11">
      <c r="A11" s="4">
        <v>1</v>
      </c>
      <c r="B11" s="4" t="s">
        <v>39</v>
      </c>
      <c r="C11" s="42">
        <v>46803</v>
      </c>
      <c r="D11" s="4" t="s">
        <v>209</v>
      </c>
      <c r="E11" s="4">
        <v>2</v>
      </c>
      <c r="F11" s="9" t="s">
        <v>206</v>
      </c>
      <c r="G11" s="44">
        <v>25</v>
      </c>
      <c r="H11" s="4" t="s">
        <v>12</v>
      </c>
      <c r="I11" s="4" t="s">
        <v>213</v>
      </c>
      <c r="J11" s="8"/>
      <c r="K11" s="9" t="s">
        <v>207</v>
      </c>
    </row>
    <row r="12" spans="1:11">
      <c r="A12" s="4">
        <v>1</v>
      </c>
      <c r="B12" s="4" t="s">
        <v>39</v>
      </c>
      <c r="C12" s="42">
        <v>46803</v>
      </c>
      <c r="D12" s="4" t="s">
        <v>209</v>
      </c>
      <c r="E12" s="4">
        <v>2</v>
      </c>
      <c r="F12" s="9" t="s">
        <v>206</v>
      </c>
      <c r="G12" s="44">
        <v>30</v>
      </c>
      <c r="H12" s="4" t="s">
        <v>12</v>
      </c>
      <c r="I12" s="4" t="s">
        <v>213</v>
      </c>
      <c r="J12" s="8"/>
      <c r="K12" s="9" t="s">
        <v>207</v>
      </c>
    </row>
    <row r="13" spans="1:11">
      <c r="A13" s="4">
        <v>1</v>
      </c>
      <c r="B13" s="4" t="s">
        <v>39</v>
      </c>
      <c r="C13" s="42">
        <v>46803</v>
      </c>
      <c r="D13" s="4" t="s">
        <v>209</v>
      </c>
      <c r="E13" s="4">
        <v>2</v>
      </c>
      <c r="F13" s="9" t="s">
        <v>206</v>
      </c>
      <c r="G13" s="44">
        <v>35</v>
      </c>
      <c r="H13" s="4" t="s">
        <v>12</v>
      </c>
      <c r="I13" s="4" t="s">
        <v>213</v>
      </c>
      <c r="J13" s="8"/>
      <c r="K13" s="9" t="s">
        <v>207</v>
      </c>
    </row>
    <row r="14" spans="1:11">
      <c r="A14" s="4">
        <v>1</v>
      </c>
      <c r="B14" s="4" t="s">
        <v>39</v>
      </c>
      <c r="C14" s="42">
        <v>46803</v>
      </c>
      <c r="D14" s="4" t="s">
        <v>209</v>
      </c>
      <c r="E14" s="4">
        <v>2</v>
      </c>
      <c r="F14" s="9" t="s">
        <v>206</v>
      </c>
      <c r="G14" s="44">
        <v>40</v>
      </c>
      <c r="H14" s="4" t="s">
        <v>12</v>
      </c>
      <c r="I14" s="4" t="s">
        <v>213</v>
      </c>
      <c r="J14" s="8"/>
      <c r="K14" s="9" t="s">
        <v>207</v>
      </c>
    </row>
    <row r="15" spans="1:11">
      <c r="A15" s="4">
        <v>1</v>
      </c>
      <c r="B15" s="4" t="s">
        <v>39</v>
      </c>
      <c r="C15" s="42">
        <v>46803</v>
      </c>
      <c r="D15" s="4" t="s">
        <v>209</v>
      </c>
      <c r="E15" s="4">
        <v>2</v>
      </c>
      <c r="F15" s="9" t="s">
        <v>206</v>
      </c>
      <c r="G15" s="44">
        <v>45</v>
      </c>
      <c r="H15" s="4" t="s">
        <v>12</v>
      </c>
      <c r="I15" s="4" t="s">
        <v>213</v>
      </c>
      <c r="J15" s="8"/>
      <c r="K15" s="9" t="s">
        <v>207</v>
      </c>
    </row>
    <row r="16" spans="1:11">
      <c r="A16" s="4">
        <v>1</v>
      </c>
      <c r="B16" s="4" t="s">
        <v>39</v>
      </c>
      <c r="C16" s="42">
        <v>46803</v>
      </c>
      <c r="D16" s="4" t="s">
        <v>209</v>
      </c>
      <c r="E16" s="4">
        <v>2</v>
      </c>
      <c r="F16" s="9" t="s">
        <v>206</v>
      </c>
      <c r="G16" s="44">
        <v>50</v>
      </c>
      <c r="H16" s="4" t="s">
        <v>12</v>
      </c>
      <c r="I16" s="4" t="s">
        <v>213</v>
      </c>
      <c r="J16" s="8"/>
      <c r="K16" s="9" t="s">
        <v>207</v>
      </c>
    </row>
    <row r="17" spans="1:11">
      <c r="A17" s="4">
        <v>1</v>
      </c>
      <c r="B17" s="4" t="s">
        <v>39</v>
      </c>
      <c r="C17" s="42">
        <v>46803</v>
      </c>
      <c r="D17" s="4" t="s">
        <v>203</v>
      </c>
      <c r="E17" s="4">
        <v>2.5</v>
      </c>
      <c r="F17" s="9" t="s">
        <v>204</v>
      </c>
      <c r="G17" s="4">
        <v>20</v>
      </c>
      <c r="H17" s="4" t="s">
        <v>12</v>
      </c>
      <c r="I17" s="7">
        <v>1624</v>
      </c>
      <c r="J17" s="8" t="s">
        <v>13</v>
      </c>
    </row>
    <row r="18" spans="1:11">
      <c r="A18" s="4">
        <v>1</v>
      </c>
      <c r="B18" s="4" t="s">
        <v>39</v>
      </c>
      <c r="C18" s="42">
        <v>46803</v>
      </c>
      <c r="D18" s="43" t="s">
        <v>205</v>
      </c>
      <c r="E18" s="4">
        <v>1</v>
      </c>
      <c r="F18" s="9" t="s">
        <v>204</v>
      </c>
      <c r="G18" s="4">
        <v>20</v>
      </c>
      <c r="H18" s="4" t="s">
        <v>12</v>
      </c>
      <c r="I18" s="7">
        <v>1625</v>
      </c>
      <c r="J18" s="8" t="s">
        <v>13</v>
      </c>
    </row>
    <row r="19" spans="1:11">
      <c r="A19" s="4">
        <v>1</v>
      </c>
      <c r="B19" s="4" t="s">
        <v>39</v>
      </c>
      <c r="C19" s="42">
        <v>37672</v>
      </c>
      <c r="D19" s="4" t="s">
        <v>214</v>
      </c>
      <c r="E19" s="4">
        <v>2.5</v>
      </c>
      <c r="F19" s="9" t="s">
        <v>204</v>
      </c>
      <c r="G19" s="4">
        <v>37</v>
      </c>
      <c r="H19" s="4" t="s">
        <v>12</v>
      </c>
      <c r="I19" s="4" t="s">
        <v>215</v>
      </c>
      <c r="J19" s="8"/>
    </row>
    <row r="20" spans="1:11">
      <c r="A20" s="4">
        <v>1</v>
      </c>
      <c r="B20" s="4" t="s">
        <v>39</v>
      </c>
      <c r="C20" s="42">
        <v>37672</v>
      </c>
      <c r="D20" s="43" t="s">
        <v>205</v>
      </c>
      <c r="E20" s="4">
        <v>1</v>
      </c>
      <c r="F20" s="9" t="s">
        <v>216</v>
      </c>
      <c r="G20" s="4">
        <v>37</v>
      </c>
      <c r="H20" s="4" t="s">
        <v>12</v>
      </c>
      <c r="I20" s="7">
        <v>1625</v>
      </c>
      <c r="J20" s="8" t="s">
        <v>13</v>
      </c>
      <c r="K20" s="9" t="s">
        <v>207</v>
      </c>
    </row>
    <row r="21" spans="1:11">
      <c r="A21" s="4">
        <v>1</v>
      </c>
      <c r="B21" s="4" t="s">
        <v>39</v>
      </c>
      <c r="C21" s="42">
        <v>37672</v>
      </c>
      <c r="D21" s="4" t="s">
        <v>209</v>
      </c>
      <c r="E21" s="4">
        <v>2</v>
      </c>
      <c r="F21" s="9" t="s">
        <v>217</v>
      </c>
      <c r="G21" s="4">
        <v>37</v>
      </c>
      <c r="H21" s="4" t="s">
        <v>12</v>
      </c>
      <c r="I21" s="4" t="s">
        <v>218</v>
      </c>
      <c r="J21" s="8"/>
      <c r="K21" s="9" t="s">
        <v>207</v>
      </c>
    </row>
    <row r="22" spans="1:11">
      <c r="A22" s="4">
        <v>1</v>
      </c>
      <c r="B22" s="4" t="s">
        <v>39</v>
      </c>
      <c r="C22" s="42">
        <v>38037</v>
      </c>
      <c r="D22" s="4" t="s">
        <v>214</v>
      </c>
      <c r="E22" s="4">
        <v>2.5</v>
      </c>
      <c r="F22" s="9" t="s">
        <v>206</v>
      </c>
      <c r="G22" s="4">
        <v>37</v>
      </c>
      <c r="H22" s="4" t="s">
        <v>12</v>
      </c>
      <c r="I22" s="7">
        <v>1652</v>
      </c>
      <c r="J22" s="8" t="s">
        <v>210</v>
      </c>
      <c r="K22" s="9" t="s">
        <v>207</v>
      </c>
    </row>
    <row r="23" spans="1:11">
      <c r="A23" s="4">
        <v>1</v>
      </c>
      <c r="B23" s="4" t="s">
        <v>39</v>
      </c>
      <c r="C23" s="42">
        <v>37062</v>
      </c>
      <c r="D23" s="4" t="s">
        <v>209</v>
      </c>
      <c r="E23" s="4">
        <v>2</v>
      </c>
      <c r="F23" s="9" t="s">
        <v>219</v>
      </c>
      <c r="G23" s="4">
        <v>37</v>
      </c>
      <c r="H23" s="4" t="s">
        <v>12</v>
      </c>
      <c r="I23" s="7">
        <v>1622</v>
      </c>
      <c r="J23" s="8" t="s">
        <v>13</v>
      </c>
      <c r="K23" s="9" t="s">
        <v>207</v>
      </c>
    </row>
    <row r="24" spans="1:11">
      <c r="A24" s="4">
        <v>1</v>
      </c>
      <c r="B24" s="4" t="s">
        <v>39</v>
      </c>
      <c r="C24" s="42">
        <v>38523</v>
      </c>
      <c r="D24" s="4" t="s">
        <v>214</v>
      </c>
      <c r="E24" s="4">
        <v>2.5</v>
      </c>
      <c r="F24" s="9" t="s">
        <v>219</v>
      </c>
      <c r="G24" s="4">
        <v>37</v>
      </c>
      <c r="H24" s="4" t="s">
        <v>220</v>
      </c>
      <c r="I24" s="7" t="s">
        <v>221</v>
      </c>
      <c r="J24" s="8"/>
      <c r="K24" s="9" t="s">
        <v>222</v>
      </c>
    </row>
    <row r="25" spans="1:11">
      <c r="A25" s="4">
        <v>1</v>
      </c>
      <c r="B25" s="4" t="s">
        <v>39</v>
      </c>
      <c r="C25" s="42">
        <v>38523</v>
      </c>
      <c r="D25" s="4" t="s">
        <v>223</v>
      </c>
      <c r="E25" s="4">
        <v>1</v>
      </c>
      <c r="F25" s="9" t="s">
        <v>204</v>
      </c>
      <c r="G25" s="4">
        <v>37</v>
      </c>
      <c r="H25" s="4" t="s">
        <v>220</v>
      </c>
      <c r="I25" s="7" t="s">
        <v>215</v>
      </c>
      <c r="J25" s="8"/>
    </row>
    <row r="26" spans="1:11">
      <c r="A26" s="4">
        <v>1</v>
      </c>
      <c r="B26" s="4" t="s">
        <v>39</v>
      </c>
      <c r="C26" s="42">
        <v>39984</v>
      </c>
      <c r="D26" s="4" t="s">
        <v>223</v>
      </c>
      <c r="E26" s="4">
        <v>1</v>
      </c>
      <c r="F26" s="9" t="s">
        <v>224</v>
      </c>
      <c r="G26" s="4">
        <v>37</v>
      </c>
      <c r="H26" s="4" t="s">
        <v>220</v>
      </c>
      <c r="I26" s="7" t="s">
        <v>215</v>
      </c>
      <c r="J26" s="8"/>
      <c r="K26" s="9" t="s">
        <v>207</v>
      </c>
    </row>
    <row r="27" spans="1:11">
      <c r="A27" s="31">
        <v>1</v>
      </c>
      <c r="B27" s="31" t="s">
        <v>39</v>
      </c>
      <c r="C27" s="45">
        <v>38676</v>
      </c>
      <c r="D27" s="31" t="s">
        <v>10</v>
      </c>
      <c r="E27" s="6" t="s">
        <v>11</v>
      </c>
      <c r="F27" s="46" t="s">
        <v>204</v>
      </c>
      <c r="G27" s="31">
        <v>25</v>
      </c>
      <c r="H27" s="31" t="s">
        <v>12</v>
      </c>
      <c r="I27" s="47"/>
      <c r="J27" s="48"/>
      <c r="K27" s="10" t="s">
        <v>225</v>
      </c>
    </row>
    <row r="28" spans="1:11">
      <c r="A28" s="31">
        <v>1</v>
      </c>
      <c r="B28" s="31" t="s">
        <v>39</v>
      </c>
      <c r="C28" s="45">
        <v>39041</v>
      </c>
      <c r="D28" s="31" t="s">
        <v>226</v>
      </c>
      <c r="E28" s="6" t="s">
        <v>11</v>
      </c>
      <c r="F28" s="46" t="s">
        <v>227</v>
      </c>
      <c r="G28" s="31">
        <v>25</v>
      </c>
      <c r="H28" s="31" t="s">
        <v>12</v>
      </c>
      <c r="I28" s="47"/>
      <c r="J28" s="48"/>
      <c r="K28" s="49" t="s">
        <v>228</v>
      </c>
    </row>
    <row r="29" spans="1:11">
      <c r="A29" s="31">
        <v>1</v>
      </c>
      <c r="B29" s="31" t="s">
        <v>39</v>
      </c>
      <c r="C29" s="45">
        <v>39041</v>
      </c>
      <c r="D29" s="31" t="s">
        <v>229</v>
      </c>
      <c r="E29" s="6" t="s">
        <v>11</v>
      </c>
      <c r="F29" s="46" t="s">
        <v>227</v>
      </c>
      <c r="G29" s="31">
        <v>25</v>
      </c>
      <c r="H29" s="31" t="s">
        <v>12</v>
      </c>
      <c r="I29" s="47"/>
      <c r="J29" s="48"/>
      <c r="K29" s="49" t="s">
        <v>228</v>
      </c>
    </row>
    <row r="30" spans="1:11">
      <c r="A30" s="31">
        <v>1</v>
      </c>
      <c r="B30" s="31" t="s">
        <v>39</v>
      </c>
      <c r="C30" s="50">
        <v>40137</v>
      </c>
      <c r="D30" s="31" t="s">
        <v>230</v>
      </c>
      <c r="E30" s="6" t="s">
        <v>11</v>
      </c>
      <c r="F30" s="46" t="s">
        <v>231</v>
      </c>
      <c r="G30" s="31">
        <v>25</v>
      </c>
      <c r="H30" s="31" t="s">
        <v>12</v>
      </c>
      <c r="I30" s="47"/>
      <c r="J30" s="48"/>
      <c r="K30" s="49" t="s">
        <v>228</v>
      </c>
    </row>
    <row r="31" spans="1:11">
      <c r="A31" s="31">
        <v>1</v>
      </c>
      <c r="B31" s="31" t="s">
        <v>39</v>
      </c>
      <c r="C31" s="50">
        <v>40137</v>
      </c>
      <c r="D31" s="31" t="s">
        <v>232</v>
      </c>
      <c r="E31" s="6" t="s">
        <v>11</v>
      </c>
      <c r="F31" s="46" t="s">
        <v>231</v>
      </c>
      <c r="G31" s="31">
        <v>25</v>
      </c>
      <c r="H31" s="31" t="s">
        <v>12</v>
      </c>
      <c r="I31" s="47"/>
      <c r="J31" s="48"/>
      <c r="K31" s="49" t="s">
        <v>228</v>
      </c>
    </row>
    <row r="32" spans="1:11">
      <c r="A32" s="31">
        <v>1</v>
      </c>
      <c r="B32" s="31" t="s">
        <v>39</v>
      </c>
      <c r="C32" s="45">
        <v>41233</v>
      </c>
      <c r="D32" s="31" t="s">
        <v>10</v>
      </c>
      <c r="E32" s="6" t="s">
        <v>11</v>
      </c>
      <c r="F32" s="46" t="s">
        <v>233</v>
      </c>
      <c r="G32" s="31">
        <v>25</v>
      </c>
      <c r="H32" s="31" t="s">
        <v>12</v>
      </c>
      <c r="I32" s="47"/>
      <c r="J32" s="48"/>
      <c r="K32" s="49" t="s">
        <v>228</v>
      </c>
    </row>
    <row r="33" spans="1:11">
      <c r="A33" s="31">
        <v>1</v>
      </c>
      <c r="B33" s="31" t="s">
        <v>39</v>
      </c>
      <c r="C33" s="45">
        <v>41233</v>
      </c>
      <c r="D33" s="31" t="s">
        <v>226</v>
      </c>
      <c r="E33" s="6" t="s">
        <v>11</v>
      </c>
      <c r="F33" s="46" t="s">
        <v>233</v>
      </c>
      <c r="G33" s="31">
        <v>25</v>
      </c>
      <c r="H33" s="31" t="s">
        <v>12</v>
      </c>
      <c r="I33" s="47"/>
      <c r="J33" s="48"/>
      <c r="K33" s="49" t="s">
        <v>228</v>
      </c>
    </row>
    <row r="34" spans="1:11">
      <c r="A34" s="31">
        <v>1</v>
      </c>
      <c r="B34" s="31" t="s">
        <v>39</v>
      </c>
      <c r="C34" s="45">
        <v>41233</v>
      </c>
      <c r="D34" s="31" t="s">
        <v>229</v>
      </c>
      <c r="E34" s="6" t="s">
        <v>11</v>
      </c>
      <c r="F34" s="46" t="s">
        <v>233</v>
      </c>
      <c r="G34" s="31">
        <v>25</v>
      </c>
      <c r="H34" s="31" t="s">
        <v>12</v>
      </c>
      <c r="I34" s="47"/>
      <c r="J34" s="48"/>
      <c r="K34" s="49" t="s">
        <v>228</v>
      </c>
    </row>
    <row r="35" spans="1:11">
      <c r="A35" s="31">
        <v>1</v>
      </c>
      <c r="B35" s="31" t="s">
        <v>39</v>
      </c>
      <c r="C35" s="45">
        <v>42694</v>
      </c>
      <c r="D35" s="31" t="s">
        <v>230</v>
      </c>
      <c r="E35" s="6" t="s">
        <v>11</v>
      </c>
      <c r="F35" s="46" t="s">
        <v>234</v>
      </c>
      <c r="G35" s="31">
        <v>25</v>
      </c>
      <c r="H35" s="31" t="s">
        <v>12</v>
      </c>
      <c r="I35" s="47"/>
      <c r="J35" s="48"/>
      <c r="K35" s="49" t="s">
        <v>228</v>
      </c>
    </row>
    <row r="36" spans="1:11">
      <c r="A36" s="31">
        <v>1</v>
      </c>
      <c r="B36" s="31" t="s">
        <v>39</v>
      </c>
      <c r="C36" s="45">
        <v>42694</v>
      </c>
      <c r="D36" s="31" t="s">
        <v>232</v>
      </c>
      <c r="E36" s="6" t="s">
        <v>11</v>
      </c>
      <c r="F36" s="46" t="s">
        <v>234</v>
      </c>
      <c r="G36" s="31">
        <v>25</v>
      </c>
      <c r="H36" s="31" t="s">
        <v>12</v>
      </c>
      <c r="I36" s="47"/>
      <c r="J36" s="48"/>
      <c r="K36" s="49" t="s">
        <v>228</v>
      </c>
    </row>
    <row r="37" spans="1:11">
      <c r="A37" s="31">
        <v>1</v>
      </c>
      <c r="B37" s="31" t="s">
        <v>39</v>
      </c>
      <c r="C37" s="45">
        <v>46711</v>
      </c>
      <c r="D37" s="31" t="s">
        <v>10</v>
      </c>
      <c r="E37" s="6" t="s">
        <v>11</v>
      </c>
      <c r="F37" s="46" t="s">
        <v>235</v>
      </c>
      <c r="G37" s="44" t="s">
        <v>236</v>
      </c>
      <c r="H37" s="31" t="s">
        <v>12</v>
      </c>
      <c r="I37" s="47"/>
      <c r="J37" s="48"/>
      <c r="K37" s="49" t="s">
        <v>228</v>
      </c>
    </row>
    <row r="38" spans="1:11">
      <c r="A38" s="31">
        <v>1</v>
      </c>
      <c r="B38" s="31" t="s">
        <v>39</v>
      </c>
      <c r="C38" s="45">
        <v>46711</v>
      </c>
      <c r="D38" s="31" t="s">
        <v>226</v>
      </c>
      <c r="E38" s="6" t="s">
        <v>11</v>
      </c>
      <c r="F38" s="46" t="s">
        <v>235</v>
      </c>
      <c r="G38" s="44" t="s">
        <v>236</v>
      </c>
      <c r="H38" s="31" t="s">
        <v>12</v>
      </c>
      <c r="I38" s="47"/>
      <c r="J38" s="48"/>
      <c r="K38" s="49" t="s">
        <v>228</v>
      </c>
    </row>
    <row r="39" spans="1:11">
      <c r="A39" s="31">
        <v>1</v>
      </c>
      <c r="B39" s="31" t="s">
        <v>39</v>
      </c>
      <c r="C39" s="45">
        <v>46711</v>
      </c>
      <c r="D39" s="31" t="s">
        <v>229</v>
      </c>
      <c r="E39" s="6" t="s">
        <v>11</v>
      </c>
      <c r="F39" s="46" t="s">
        <v>235</v>
      </c>
      <c r="G39" s="44" t="s">
        <v>236</v>
      </c>
      <c r="H39" s="31" t="s">
        <v>12</v>
      </c>
      <c r="I39" s="47"/>
      <c r="J39" s="48"/>
      <c r="K39" s="49" t="s">
        <v>228</v>
      </c>
    </row>
    <row r="40" spans="1:11">
      <c r="A40" s="31">
        <v>1</v>
      </c>
      <c r="B40" s="31" t="s">
        <v>39</v>
      </c>
      <c r="C40" s="45">
        <v>40897</v>
      </c>
      <c r="D40" s="31" t="s">
        <v>230</v>
      </c>
      <c r="E40" s="6" t="s">
        <v>11</v>
      </c>
      <c r="F40" s="46" t="s">
        <v>237</v>
      </c>
      <c r="G40" s="31">
        <v>25</v>
      </c>
      <c r="H40" s="31" t="s">
        <v>12</v>
      </c>
      <c r="I40" s="47"/>
      <c r="J40" s="48"/>
      <c r="K40" s="49" t="s">
        <v>228</v>
      </c>
    </row>
    <row r="41" spans="1:11">
      <c r="A41" s="31">
        <v>1</v>
      </c>
      <c r="B41" s="31" t="s">
        <v>39</v>
      </c>
      <c r="C41" s="45">
        <v>40897</v>
      </c>
      <c r="D41" s="31" t="s">
        <v>232</v>
      </c>
      <c r="E41" s="6" t="s">
        <v>11</v>
      </c>
      <c r="F41" s="46" t="s">
        <v>237</v>
      </c>
      <c r="G41" s="31">
        <v>25</v>
      </c>
      <c r="H41" s="31" t="s">
        <v>12</v>
      </c>
      <c r="I41" s="47"/>
      <c r="J41" s="48"/>
      <c r="K41" s="49" t="s">
        <v>228</v>
      </c>
    </row>
    <row r="42" spans="1:11">
      <c r="A42" s="4">
        <v>2</v>
      </c>
      <c r="B42" s="4" t="s">
        <v>49</v>
      </c>
      <c r="C42" s="42">
        <v>46893</v>
      </c>
      <c r="D42" s="4" t="s">
        <v>202</v>
      </c>
      <c r="E42" s="4"/>
      <c r="G42" s="4">
        <v>37</v>
      </c>
      <c r="H42" s="4" t="s">
        <v>220</v>
      </c>
      <c r="I42" s="7">
        <v>1629</v>
      </c>
      <c r="J42" s="8"/>
    </row>
    <row r="43" spans="1:11">
      <c r="A43" s="4">
        <v>2</v>
      </c>
      <c r="B43" s="4" t="s">
        <v>49</v>
      </c>
      <c r="C43" s="42">
        <v>46893</v>
      </c>
      <c r="D43" s="4" t="s">
        <v>209</v>
      </c>
      <c r="E43" s="4">
        <v>2</v>
      </c>
      <c r="F43" s="9" t="s">
        <v>204</v>
      </c>
      <c r="G43" s="4">
        <v>37</v>
      </c>
      <c r="H43" s="4" t="s">
        <v>220</v>
      </c>
      <c r="I43" s="7">
        <v>1630</v>
      </c>
      <c r="J43" s="8"/>
    </row>
    <row r="44" spans="1:11">
      <c r="A44" s="4">
        <v>2</v>
      </c>
      <c r="B44" s="4" t="s">
        <v>49</v>
      </c>
      <c r="C44" s="42">
        <v>37062</v>
      </c>
      <c r="D44" s="4" t="s">
        <v>209</v>
      </c>
      <c r="E44" s="4">
        <v>2</v>
      </c>
      <c r="F44" s="9" t="s">
        <v>238</v>
      </c>
      <c r="G44" s="4">
        <v>37</v>
      </c>
      <c r="H44" s="4" t="s">
        <v>220</v>
      </c>
      <c r="I44" s="7">
        <v>1630</v>
      </c>
      <c r="J44" s="8" t="s">
        <v>13</v>
      </c>
      <c r="K44" s="9" t="s">
        <v>207</v>
      </c>
    </row>
    <row r="45" spans="1:11">
      <c r="A45" s="4">
        <v>2</v>
      </c>
      <c r="B45" s="4" t="s">
        <v>49</v>
      </c>
      <c r="C45" s="42">
        <v>38523</v>
      </c>
      <c r="D45" s="4" t="s">
        <v>223</v>
      </c>
      <c r="E45" s="4">
        <v>1</v>
      </c>
      <c r="F45" s="9" t="s">
        <v>204</v>
      </c>
      <c r="G45" s="4">
        <v>37</v>
      </c>
      <c r="H45" s="4" t="s">
        <v>220</v>
      </c>
      <c r="I45" s="7" t="s">
        <v>239</v>
      </c>
      <c r="J45" s="8"/>
      <c r="K45" s="9"/>
    </row>
    <row r="46" spans="1:11">
      <c r="A46" s="4">
        <v>2</v>
      </c>
      <c r="B46" s="4" t="s">
        <v>49</v>
      </c>
      <c r="C46" s="42">
        <v>39984</v>
      </c>
      <c r="D46" s="4" t="s">
        <v>223</v>
      </c>
      <c r="E46" s="4">
        <v>1</v>
      </c>
      <c r="F46" s="9" t="s">
        <v>224</v>
      </c>
      <c r="G46" s="4">
        <v>37</v>
      </c>
      <c r="H46" s="4" t="s">
        <v>220</v>
      </c>
      <c r="I46" s="7" t="s">
        <v>240</v>
      </c>
      <c r="J46" s="8"/>
      <c r="K46" s="9" t="s">
        <v>207</v>
      </c>
    </row>
    <row r="47" spans="1:11">
      <c r="A47" s="4">
        <v>3</v>
      </c>
      <c r="B47" s="4" t="s">
        <v>58</v>
      </c>
      <c r="C47" s="42">
        <v>46893</v>
      </c>
      <c r="D47" s="4" t="s">
        <v>202</v>
      </c>
      <c r="E47" s="4"/>
      <c r="G47" s="4">
        <v>37</v>
      </c>
      <c r="H47" s="4" t="s">
        <v>220</v>
      </c>
      <c r="I47" s="7">
        <v>1630</v>
      </c>
      <c r="J47" s="8"/>
    </row>
    <row r="48" spans="1:11">
      <c r="A48" s="4">
        <v>3</v>
      </c>
      <c r="B48" s="4" t="s">
        <v>58</v>
      </c>
      <c r="C48" s="42">
        <v>46893</v>
      </c>
      <c r="D48" s="4" t="s">
        <v>209</v>
      </c>
      <c r="E48" s="4">
        <v>2</v>
      </c>
      <c r="F48" s="9" t="s">
        <v>204</v>
      </c>
      <c r="G48" s="4">
        <v>37</v>
      </c>
      <c r="H48" s="4" t="s">
        <v>220</v>
      </c>
      <c r="I48" s="7">
        <v>1625</v>
      </c>
      <c r="J48" s="8" t="s">
        <v>13</v>
      </c>
    </row>
    <row r="49" spans="1:11">
      <c r="A49" s="4">
        <v>3</v>
      </c>
      <c r="B49" s="4" t="s">
        <v>58</v>
      </c>
      <c r="C49" s="42">
        <v>37062</v>
      </c>
      <c r="D49" s="4" t="s">
        <v>209</v>
      </c>
      <c r="E49" s="4">
        <v>2</v>
      </c>
      <c r="F49" s="9" t="s">
        <v>238</v>
      </c>
      <c r="G49" s="4">
        <v>37</v>
      </c>
      <c r="H49" s="4" t="s">
        <v>220</v>
      </c>
      <c r="I49" s="7">
        <v>1625</v>
      </c>
      <c r="J49" s="8" t="s">
        <v>13</v>
      </c>
      <c r="K49" s="9" t="s">
        <v>207</v>
      </c>
    </row>
    <row r="50" spans="1:11">
      <c r="A50" s="4">
        <v>3</v>
      </c>
      <c r="B50" s="4" t="s">
        <v>58</v>
      </c>
      <c r="C50" s="42">
        <v>38523</v>
      </c>
      <c r="D50" s="4" t="s">
        <v>223</v>
      </c>
      <c r="E50" s="4">
        <v>1</v>
      </c>
      <c r="F50" s="9" t="s">
        <v>204</v>
      </c>
      <c r="G50" s="4">
        <v>37</v>
      </c>
      <c r="H50" s="4" t="s">
        <v>220</v>
      </c>
      <c r="I50" s="7">
        <v>1633</v>
      </c>
      <c r="J50" s="8"/>
      <c r="K50" s="9"/>
    </row>
    <row r="51" spans="1:11">
      <c r="A51" s="4">
        <v>3</v>
      </c>
      <c r="B51" s="4" t="s">
        <v>58</v>
      </c>
      <c r="C51" s="42">
        <v>39984</v>
      </c>
      <c r="D51" s="4" t="s">
        <v>223</v>
      </c>
      <c r="E51" s="4">
        <v>1</v>
      </c>
      <c r="F51" s="9" t="s">
        <v>224</v>
      </c>
      <c r="G51" s="4">
        <v>37</v>
      </c>
      <c r="H51" s="4" t="s">
        <v>220</v>
      </c>
      <c r="I51" s="7">
        <v>1629</v>
      </c>
      <c r="J51" s="8" t="s">
        <v>13</v>
      </c>
      <c r="K51" s="9" t="s">
        <v>207</v>
      </c>
    </row>
    <row r="52" spans="1:11">
      <c r="A52" s="51">
        <v>3</v>
      </c>
      <c r="B52" s="31" t="s">
        <v>58</v>
      </c>
      <c r="C52" s="45">
        <v>38676</v>
      </c>
      <c r="D52" s="31" t="s">
        <v>10</v>
      </c>
      <c r="E52" s="6" t="s">
        <v>11</v>
      </c>
      <c r="F52" s="46" t="s">
        <v>204</v>
      </c>
      <c r="G52" s="31">
        <v>25</v>
      </c>
      <c r="H52" s="31" t="s">
        <v>12</v>
      </c>
      <c r="I52" s="47"/>
      <c r="J52" s="48"/>
      <c r="K52" s="10" t="s">
        <v>225</v>
      </c>
    </row>
    <row r="53" spans="1:11">
      <c r="A53" s="51">
        <v>3</v>
      </c>
      <c r="B53" s="31" t="s">
        <v>58</v>
      </c>
      <c r="C53" s="45">
        <v>38676</v>
      </c>
      <c r="D53" s="31" t="s">
        <v>226</v>
      </c>
      <c r="E53" s="6" t="s">
        <v>11</v>
      </c>
      <c r="F53" s="46" t="s">
        <v>204</v>
      </c>
      <c r="G53" s="31">
        <v>25</v>
      </c>
      <c r="H53" s="31" t="s">
        <v>12</v>
      </c>
      <c r="I53" s="47"/>
      <c r="J53" s="48"/>
      <c r="K53" s="10" t="s">
        <v>225</v>
      </c>
    </row>
    <row r="54" spans="1:11">
      <c r="A54" s="51">
        <v>3</v>
      </c>
      <c r="B54" s="31" t="s">
        <v>58</v>
      </c>
      <c r="C54" s="45">
        <v>39041</v>
      </c>
      <c r="D54" s="31" t="s">
        <v>229</v>
      </c>
      <c r="E54" s="6" t="s">
        <v>11</v>
      </c>
      <c r="F54" s="46" t="s">
        <v>227</v>
      </c>
      <c r="G54" s="31">
        <v>25</v>
      </c>
      <c r="H54" s="31" t="s">
        <v>12</v>
      </c>
      <c r="I54" s="47"/>
      <c r="J54" s="48"/>
      <c r="K54" s="49" t="s">
        <v>228</v>
      </c>
    </row>
    <row r="55" spans="1:11">
      <c r="A55" s="51">
        <v>3</v>
      </c>
      <c r="B55" s="31" t="s">
        <v>58</v>
      </c>
      <c r="C55" s="50">
        <v>40502</v>
      </c>
      <c r="D55" s="31" t="s">
        <v>230</v>
      </c>
      <c r="E55" s="6" t="s">
        <v>11</v>
      </c>
      <c r="F55" s="46" t="s">
        <v>231</v>
      </c>
      <c r="G55" s="31">
        <v>25</v>
      </c>
      <c r="H55" s="31" t="s">
        <v>12</v>
      </c>
      <c r="I55" s="47"/>
      <c r="J55" s="48"/>
      <c r="K55" s="49" t="s">
        <v>228</v>
      </c>
    </row>
    <row r="56" spans="1:11">
      <c r="A56" s="51">
        <v>3</v>
      </c>
      <c r="B56" s="31" t="s">
        <v>58</v>
      </c>
      <c r="C56" s="50">
        <v>40502</v>
      </c>
      <c r="D56" s="31" t="s">
        <v>232</v>
      </c>
      <c r="E56" s="6" t="s">
        <v>11</v>
      </c>
      <c r="F56" s="46" t="s">
        <v>231</v>
      </c>
      <c r="G56" s="31">
        <v>25</v>
      </c>
      <c r="H56" s="31" t="s">
        <v>12</v>
      </c>
      <c r="I56" s="47"/>
      <c r="J56" s="48"/>
      <c r="K56" s="49" t="s">
        <v>228</v>
      </c>
    </row>
    <row r="57" spans="1:11">
      <c r="A57" s="51">
        <v>3</v>
      </c>
      <c r="B57" s="31" t="s">
        <v>58</v>
      </c>
      <c r="C57" s="45">
        <v>41233</v>
      </c>
      <c r="D57" s="31" t="s">
        <v>10</v>
      </c>
      <c r="E57" s="6" t="s">
        <v>11</v>
      </c>
      <c r="F57" s="46" t="s">
        <v>233</v>
      </c>
      <c r="G57" s="31">
        <v>25</v>
      </c>
      <c r="H57" s="31" t="s">
        <v>12</v>
      </c>
      <c r="I57" s="47"/>
      <c r="J57" s="48"/>
      <c r="K57" s="49" t="s">
        <v>228</v>
      </c>
    </row>
    <row r="58" spans="1:11">
      <c r="A58" s="51">
        <v>3</v>
      </c>
      <c r="B58" s="31" t="s">
        <v>58</v>
      </c>
      <c r="C58" s="45">
        <v>41233</v>
      </c>
      <c r="D58" s="31" t="s">
        <v>226</v>
      </c>
      <c r="E58" s="6" t="s">
        <v>11</v>
      </c>
      <c r="F58" s="46" t="s">
        <v>233</v>
      </c>
      <c r="G58" s="31">
        <v>25</v>
      </c>
      <c r="H58" s="31" t="s">
        <v>12</v>
      </c>
      <c r="I58" s="47"/>
      <c r="J58" s="48"/>
      <c r="K58" s="49" t="s">
        <v>228</v>
      </c>
    </row>
    <row r="59" spans="1:11">
      <c r="A59" s="51">
        <v>3</v>
      </c>
      <c r="B59" s="31" t="s">
        <v>58</v>
      </c>
      <c r="C59" s="45">
        <v>41233</v>
      </c>
      <c r="D59" s="31" t="s">
        <v>229</v>
      </c>
      <c r="E59" s="6" t="s">
        <v>11</v>
      </c>
      <c r="F59" s="46" t="s">
        <v>233</v>
      </c>
      <c r="G59" s="31">
        <v>25</v>
      </c>
      <c r="H59" s="31" t="s">
        <v>12</v>
      </c>
      <c r="I59" s="47"/>
      <c r="J59" s="48"/>
      <c r="K59" s="49" t="s">
        <v>228</v>
      </c>
    </row>
    <row r="60" spans="1:11">
      <c r="A60" s="51">
        <v>3</v>
      </c>
      <c r="B60" s="31" t="s">
        <v>58</v>
      </c>
      <c r="C60" s="45">
        <v>42694</v>
      </c>
      <c r="D60" s="31" t="s">
        <v>230</v>
      </c>
      <c r="E60" s="6" t="s">
        <v>11</v>
      </c>
      <c r="F60" s="46" t="s">
        <v>234</v>
      </c>
      <c r="G60" s="31">
        <v>25</v>
      </c>
      <c r="H60" s="31" t="s">
        <v>12</v>
      </c>
      <c r="I60" s="47"/>
      <c r="J60" s="48"/>
      <c r="K60" s="49" t="s">
        <v>228</v>
      </c>
    </row>
    <row r="61" spans="1:11">
      <c r="A61" s="51">
        <v>3</v>
      </c>
      <c r="B61" s="31" t="s">
        <v>58</v>
      </c>
      <c r="C61" s="45">
        <v>42694</v>
      </c>
      <c r="D61" s="31" t="s">
        <v>232</v>
      </c>
      <c r="E61" s="6" t="s">
        <v>11</v>
      </c>
      <c r="F61" s="46" t="s">
        <v>234</v>
      </c>
      <c r="G61" s="31">
        <v>25</v>
      </c>
      <c r="H61" s="31" t="s">
        <v>12</v>
      </c>
      <c r="I61" s="47"/>
      <c r="J61" s="48"/>
      <c r="K61" s="49" t="s">
        <v>228</v>
      </c>
    </row>
    <row r="62" spans="1:11">
      <c r="A62" s="51">
        <v>3</v>
      </c>
      <c r="B62" s="31" t="s">
        <v>58</v>
      </c>
      <c r="C62" s="45">
        <v>46711</v>
      </c>
      <c r="D62" s="31" t="s">
        <v>10</v>
      </c>
      <c r="E62" s="6" t="s">
        <v>11</v>
      </c>
      <c r="F62" s="46" t="s">
        <v>235</v>
      </c>
      <c r="G62" s="44" t="s">
        <v>236</v>
      </c>
      <c r="H62" s="31" t="s">
        <v>12</v>
      </c>
      <c r="I62" s="47"/>
      <c r="J62" s="48"/>
      <c r="K62" s="49" t="s">
        <v>228</v>
      </c>
    </row>
    <row r="63" spans="1:11">
      <c r="A63" s="51">
        <v>3</v>
      </c>
      <c r="B63" s="31" t="s">
        <v>58</v>
      </c>
      <c r="C63" s="45">
        <v>46711</v>
      </c>
      <c r="D63" s="31" t="s">
        <v>226</v>
      </c>
      <c r="E63" s="6" t="s">
        <v>11</v>
      </c>
      <c r="F63" s="46" t="s">
        <v>235</v>
      </c>
      <c r="G63" s="44" t="s">
        <v>236</v>
      </c>
      <c r="H63" s="31" t="s">
        <v>12</v>
      </c>
      <c r="I63" s="47"/>
      <c r="J63" s="48"/>
      <c r="K63" s="49" t="s">
        <v>228</v>
      </c>
    </row>
    <row r="64" spans="1:11">
      <c r="A64" s="51">
        <v>3</v>
      </c>
      <c r="B64" s="31" t="s">
        <v>58</v>
      </c>
      <c r="C64" s="45">
        <v>46711</v>
      </c>
      <c r="D64" s="31" t="s">
        <v>229</v>
      </c>
      <c r="E64" s="6" t="s">
        <v>11</v>
      </c>
      <c r="F64" s="46" t="s">
        <v>235</v>
      </c>
      <c r="G64" s="44" t="s">
        <v>236</v>
      </c>
      <c r="H64" s="31" t="s">
        <v>12</v>
      </c>
      <c r="I64" s="47"/>
      <c r="J64" s="48"/>
      <c r="K64" s="49" t="s">
        <v>228</v>
      </c>
    </row>
    <row r="65" spans="1:11">
      <c r="A65" s="51">
        <v>3</v>
      </c>
      <c r="B65" s="31" t="s">
        <v>58</v>
      </c>
      <c r="C65" s="45">
        <v>40897</v>
      </c>
      <c r="D65" s="31" t="s">
        <v>230</v>
      </c>
      <c r="E65" s="6" t="s">
        <v>11</v>
      </c>
      <c r="F65" s="46" t="s">
        <v>237</v>
      </c>
      <c r="G65" s="31">
        <v>25</v>
      </c>
      <c r="H65" s="31" t="s">
        <v>12</v>
      </c>
      <c r="I65" s="47"/>
      <c r="J65" s="48"/>
      <c r="K65" s="49" t="s">
        <v>228</v>
      </c>
    </row>
    <row r="66" spans="1:11">
      <c r="A66" s="51">
        <v>3</v>
      </c>
      <c r="B66" s="31" t="s">
        <v>58</v>
      </c>
      <c r="C66" s="45">
        <v>40897</v>
      </c>
      <c r="D66" s="31" t="s">
        <v>232</v>
      </c>
      <c r="E66" s="6" t="s">
        <v>11</v>
      </c>
      <c r="F66" s="46" t="s">
        <v>237</v>
      </c>
      <c r="G66" s="31">
        <v>25</v>
      </c>
      <c r="H66" s="31" t="s">
        <v>12</v>
      </c>
      <c r="I66" s="47"/>
      <c r="J66" s="48"/>
      <c r="K66" s="49" t="s">
        <v>228</v>
      </c>
    </row>
    <row r="67" spans="1:11">
      <c r="A67" s="4">
        <v>3</v>
      </c>
      <c r="B67" s="4" t="s">
        <v>58</v>
      </c>
      <c r="C67" s="42">
        <v>11069</v>
      </c>
      <c r="D67" s="4" t="s">
        <v>10</v>
      </c>
      <c r="E67" s="4">
        <v>2</v>
      </c>
      <c r="G67" s="4">
        <v>25</v>
      </c>
      <c r="H67" s="4" t="s">
        <v>12</v>
      </c>
      <c r="I67" s="7">
        <v>1629</v>
      </c>
      <c r="J67" s="8" t="s">
        <v>13</v>
      </c>
      <c r="K67" s="9" t="s">
        <v>14</v>
      </c>
    </row>
    <row r="68" spans="1:11">
      <c r="A68" s="4">
        <v>3</v>
      </c>
      <c r="B68" s="5" t="s">
        <v>9</v>
      </c>
      <c r="C68" s="42">
        <v>11069</v>
      </c>
      <c r="D68" s="4" t="s">
        <v>10</v>
      </c>
      <c r="E68" s="6" t="s">
        <v>11</v>
      </c>
      <c r="G68" s="4">
        <v>25</v>
      </c>
      <c r="H68" s="4" t="s">
        <v>12</v>
      </c>
      <c r="I68" s="7">
        <v>1631</v>
      </c>
      <c r="J68" s="8" t="s">
        <v>13</v>
      </c>
      <c r="K68" s="9" t="s">
        <v>14</v>
      </c>
    </row>
    <row r="69" spans="1:11">
      <c r="A69" s="4">
        <v>3</v>
      </c>
      <c r="B69" s="4" t="s">
        <v>58</v>
      </c>
      <c r="C69" s="42">
        <v>41415</v>
      </c>
      <c r="D69" s="4" t="s">
        <v>202</v>
      </c>
      <c r="E69" s="4"/>
      <c r="G69" s="4">
        <v>24</v>
      </c>
      <c r="H69" s="4" t="s">
        <v>12</v>
      </c>
      <c r="I69" s="7">
        <v>1628</v>
      </c>
      <c r="J69" s="8" t="s">
        <v>13</v>
      </c>
      <c r="K69" s="9" t="s">
        <v>241</v>
      </c>
    </row>
    <row r="70" spans="1:11">
      <c r="A70" s="4">
        <v>4</v>
      </c>
      <c r="B70" s="4" t="s">
        <v>69</v>
      </c>
      <c r="C70" s="42">
        <v>46893</v>
      </c>
      <c r="D70" s="4" t="s">
        <v>202</v>
      </c>
      <c r="E70" s="4"/>
      <c r="G70" s="4">
        <v>37</v>
      </c>
      <c r="H70" s="4" t="s">
        <v>220</v>
      </c>
      <c r="I70" s="4" t="s">
        <v>221</v>
      </c>
      <c r="J70" s="8"/>
    </row>
    <row r="71" spans="1:11">
      <c r="A71" s="4">
        <v>4</v>
      </c>
      <c r="B71" s="4" t="s">
        <v>69</v>
      </c>
      <c r="C71" s="42">
        <v>46893</v>
      </c>
      <c r="D71" s="4" t="s">
        <v>209</v>
      </c>
      <c r="E71" s="4">
        <v>2</v>
      </c>
      <c r="F71" s="9" t="s">
        <v>204</v>
      </c>
      <c r="G71" s="4">
        <v>37</v>
      </c>
      <c r="H71" s="4" t="s">
        <v>220</v>
      </c>
      <c r="I71" s="7" t="s">
        <v>242</v>
      </c>
      <c r="J71" s="8"/>
    </row>
    <row r="72" spans="1:11">
      <c r="A72" s="4">
        <v>4</v>
      </c>
      <c r="B72" s="4" t="s">
        <v>69</v>
      </c>
      <c r="C72" s="42">
        <v>37062</v>
      </c>
      <c r="D72" s="4" t="s">
        <v>209</v>
      </c>
      <c r="E72" s="4">
        <v>2</v>
      </c>
      <c r="F72" s="9" t="s">
        <v>243</v>
      </c>
      <c r="G72" s="4">
        <v>37</v>
      </c>
      <c r="H72" s="4" t="s">
        <v>220</v>
      </c>
      <c r="I72" s="7" t="s">
        <v>240</v>
      </c>
      <c r="J72" s="8"/>
      <c r="K72" s="9" t="s">
        <v>207</v>
      </c>
    </row>
    <row r="73" spans="1:11">
      <c r="A73" s="4">
        <v>4</v>
      </c>
      <c r="B73" s="4" t="s">
        <v>69</v>
      </c>
      <c r="C73" s="42">
        <v>38523</v>
      </c>
      <c r="D73" s="4" t="s">
        <v>223</v>
      </c>
      <c r="E73" s="4">
        <v>1</v>
      </c>
      <c r="F73" s="9" t="s">
        <v>204</v>
      </c>
      <c r="G73" s="4">
        <v>37</v>
      </c>
      <c r="H73" s="4" t="s">
        <v>220</v>
      </c>
      <c r="I73" s="7" t="s">
        <v>244</v>
      </c>
      <c r="J73" s="8"/>
      <c r="K73" s="9"/>
    </row>
    <row r="74" spans="1:11">
      <c r="A74" s="4">
        <v>4</v>
      </c>
      <c r="B74" s="4" t="s">
        <v>69</v>
      </c>
      <c r="C74" s="42">
        <v>39984</v>
      </c>
      <c r="D74" s="4" t="s">
        <v>223</v>
      </c>
      <c r="E74" s="4">
        <v>1</v>
      </c>
      <c r="F74" s="9" t="s">
        <v>224</v>
      </c>
      <c r="G74" s="4">
        <v>37</v>
      </c>
      <c r="H74" s="4" t="s">
        <v>220</v>
      </c>
      <c r="I74" s="7" t="s">
        <v>245</v>
      </c>
      <c r="J74" s="8"/>
      <c r="K74" s="9" t="s">
        <v>207</v>
      </c>
    </row>
    <row r="75" spans="1:11">
      <c r="A75" s="4">
        <v>4</v>
      </c>
      <c r="B75" s="4" t="s">
        <v>69</v>
      </c>
      <c r="C75" s="42">
        <v>39984</v>
      </c>
      <c r="D75" s="4" t="s">
        <v>209</v>
      </c>
      <c r="E75" s="4">
        <v>2</v>
      </c>
      <c r="F75" s="9" t="s">
        <v>246</v>
      </c>
      <c r="G75" s="4">
        <v>37</v>
      </c>
      <c r="H75" s="4" t="s">
        <v>220</v>
      </c>
      <c r="I75" s="7" t="s">
        <v>244</v>
      </c>
      <c r="J75" s="8"/>
      <c r="K75" s="9" t="s">
        <v>207</v>
      </c>
    </row>
    <row r="76" spans="1:11">
      <c r="A76" s="31">
        <v>4</v>
      </c>
      <c r="B76" s="31" t="s">
        <v>69</v>
      </c>
      <c r="C76" s="45">
        <v>38676</v>
      </c>
      <c r="D76" s="31" t="s">
        <v>10</v>
      </c>
      <c r="E76" s="6" t="s">
        <v>11</v>
      </c>
      <c r="F76" s="46" t="s">
        <v>204</v>
      </c>
      <c r="G76" s="31">
        <v>25</v>
      </c>
      <c r="H76" s="31" t="s">
        <v>12</v>
      </c>
      <c r="I76" s="47"/>
      <c r="J76" s="48"/>
      <c r="K76" s="10" t="s">
        <v>225</v>
      </c>
    </row>
    <row r="77" spans="1:11">
      <c r="A77" s="31">
        <v>4</v>
      </c>
      <c r="B77" s="31" t="s">
        <v>69</v>
      </c>
      <c r="C77" s="45">
        <v>39042</v>
      </c>
      <c r="D77" s="31" t="s">
        <v>226</v>
      </c>
      <c r="E77" s="6" t="s">
        <v>11</v>
      </c>
      <c r="F77" s="46" t="s">
        <v>227</v>
      </c>
      <c r="G77" s="31">
        <v>25</v>
      </c>
      <c r="H77" s="31" t="s">
        <v>12</v>
      </c>
      <c r="I77" s="47"/>
      <c r="J77" s="48"/>
      <c r="K77" s="49" t="s">
        <v>228</v>
      </c>
    </row>
    <row r="78" spans="1:11">
      <c r="A78" s="31">
        <v>4</v>
      </c>
      <c r="B78" s="31" t="s">
        <v>69</v>
      </c>
      <c r="C78" s="45">
        <v>39043</v>
      </c>
      <c r="D78" s="31" t="s">
        <v>229</v>
      </c>
      <c r="E78" s="6" t="s">
        <v>11</v>
      </c>
      <c r="F78" s="46" t="s">
        <v>227</v>
      </c>
      <c r="G78" s="31">
        <v>25</v>
      </c>
      <c r="H78" s="31" t="s">
        <v>12</v>
      </c>
      <c r="I78" s="47"/>
      <c r="J78" s="48"/>
      <c r="K78" s="49" t="s">
        <v>228</v>
      </c>
    </row>
    <row r="79" spans="1:11">
      <c r="A79" s="31">
        <v>4</v>
      </c>
      <c r="B79" s="31" t="s">
        <v>69</v>
      </c>
      <c r="C79" s="45">
        <v>41233</v>
      </c>
      <c r="D79" s="31" t="s">
        <v>10</v>
      </c>
      <c r="E79" s="6" t="s">
        <v>11</v>
      </c>
      <c r="F79" s="46" t="s">
        <v>233</v>
      </c>
      <c r="G79" s="31">
        <v>25</v>
      </c>
      <c r="H79" s="31" t="s">
        <v>12</v>
      </c>
      <c r="I79" s="47"/>
      <c r="J79" s="48"/>
      <c r="K79" s="49" t="s">
        <v>228</v>
      </c>
    </row>
    <row r="80" spans="1:11">
      <c r="A80" s="31">
        <v>4</v>
      </c>
      <c r="B80" s="31" t="s">
        <v>69</v>
      </c>
      <c r="C80" s="45">
        <v>41233</v>
      </c>
      <c r="D80" s="31" t="s">
        <v>226</v>
      </c>
      <c r="E80" s="6" t="s">
        <v>11</v>
      </c>
      <c r="F80" s="46" t="s">
        <v>233</v>
      </c>
      <c r="G80" s="31">
        <v>25</v>
      </c>
      <c r="H80" s="31" t="s">
        <v>12</v>
      </c>
      <c r="I80" s="47"/>
      <c r="J80" s="48"/>
      <c r="K80" s="49" t="s">
        <v>228</v>
      </c>
    </row>
    <row r="81" spans="1:11">
      <c r="A81" s="31">
        <v>4</v>
      </c>
      <c r="B81" s="31" t="s">
        <v>69</v>
      </c>
      <c r="C81" s="45">
        <v>41233</v>
      </c>
      <c r="D81" s="31" t="s">
        <v>229</v>
      </c>
      <c r="E81" s="6" t="s">
        <v>11</v>
      </c>
      <c r="F81" s="46" t="s">
        <v>233</v>
      </c>
      <c r="G81" s="31">
        <v>25</v>
      </c>
      <c r="H81" s="31" t="s">
        <v>12</v>
      </c>
      <c r="I81" s="47"/>
      <c r="J81" s="48"/>
      <c r="K81" s="49" t="s">
        <v>228</v>
      </c>
    </row>
    <row r="82" spans="1:11">
      <c r="A82" s="31">
        <v>4</v>
      </c>
      <c r="B82" s="31" t="s">
        <v>69</v>
      </c>
      <c r="C82" s="45">
        <v>46711</v>
      </c>
      <c r="D82" s="31" t="s">
        <v>10</v>
      </c>
      <c r="E82" s="6" t="s">
        <v>11</v>
      </c>
      <c r="F82" s="46" t="s">
        <v>235</v>
      </c>
      <c r="G82" s="44" t="s">
        <v>236</v>
      </c>
      <c r="H82" s="31" t="s">
        <v>12</v>
      </c>
      <c r="I82" s="47"/>
      <c r="J82" s="48"/>
      <c r="K82" s="49" t="s">
        <v>228</v>
      </c>
    </row>
    <row r="83" spans="1:11">
      <c r="A83" s="31">
        <v>4</v>
      </c>
      <c r="B83" s="31" t="s">
        <v>69</v>
      </c>
      <c r="C83" s="45">
        <v>46711</v>
      </c>
      <c r="D83" s="31" t="s">
        <v>226</v>
      </c>
      <c r="E83" s="6" t="s">
        <v>11</v>
      </c>
      <c r="F83" s="46" t="s">
        <v>235</v>
      </c>
      <c r="G83" s="44" t="s">
        <v>236</v>
      </c>
      <c r="H83" s="31" t="s">
        <v>12</v>
      </c>
      <c r="I83" s="47"/>
      <c r="J83" s="48"/>
      <c r="K83" s="49" t="s">
        <v>228</v>
      </c>
    </row>
    <row r="84" spans="1:11">
      <c r="A84" s="31">
        <v>4</v>
      </c>
      <c r="B84" s="31" t="s">
        <v>69</v>
      </c>
      <c r="C84" s="45">
        <v>46711</v>
      </c>
      <c r="D84" s="31" t="s">
        <v>229</v>
      </c>
      <c r="E84" s="6" t="s">
        <v>11</v>
      </c>
      <c r="F84" s="46" t="s">
        <v>235</v>
      </c>
      <c r="G84" s="44" t="s">
        <v>236</v>
      </c>
      <c r="H84" s="31" t="s">
        <v>12</v>
      </c>
      <c r="I84" s="47"/>
      <c r="J84" s="48"/>
      <c r="K84" s="49" t="s">
        <v>228</v>
      </c>
    </row>
    <row r="85" spans="1:11">
      <c r="A85" s="4">
        <v>5</v>
      </c>
      <c r="B85" s="4" t="s">
        <v>78</v>
      </c>
      <c r="C85" s="42">
        <v>41811</v>
      </c>
      <c r="D85" s="4" t="s">
        <v>202</v>
      </c>
      <c r="E85" s="4"/>
      <c r="G85" s="4">
        <v>37</v>
      </c>
      <c r="H85" s="4" t="s">
        <v>20</v>
      </c>
      <c r="I85" s="7">
        <v>1628</v>
      </c>
      <c r="J85" s="8" t="s">
        <v>13</v>
      </c>
    </row>
    <row r="86" spans="1:11">
      <c r="A86" s="4">
        <v>5</v>
      </c>
      <c r="B86" s="4" t="s">
        <v>78</v>
      </c>
      <c r="C86" s="42">
        <v>41811</v>
      </c>
      <c r="D86" s="4" t="s">
        <v>209</v>
      </c>
      <c r="E86" s="4">
        <v>2</v>
      </c>
      <c r="F86" s="9" t="s">
        <v>204</v>
      </c>
      <c r="G86" s="4">
        <v>37</v>
      </c>
      <c r="H86" s="4" t="s">
        <v>20</v>
      </c>
      <c r="I86" s="7">
        <v>1627</v>
      </c>
      <c r="J86" s="8" t="s">
        <v>13</v>
      </c>
    </row>
    <row r="87" spans="1:11">
      <c r="A87" s="4">
        <v>5</v>
      </c>
      <c r="B87" s="4" t="s">
        <v>78</v>
      </c>
      <c r="C87" s="42">
        <v>41811</v>
      </c>
      <c r="D87" s="4" t="s">
        <v>247</v>
      </c>
      <c r="E87" s="4">
        <v>2</v>
      </c>
      <c r="F87" s="9" t="s">
        <v>204</v>
      </c>
      <c r="G87" s="4">
        <v>37</v>
      </c>
      <c r="H87" s="4" t="s">
        <v>20</v>
      </c>
      <c r="I87" s="7">
        <v>1638</v>
      </c>
      <c r="J87" s="8"/>
    </row>
    <row r="88" spans="1:11">
      <c r="A88" s="4">
        <v>5</v>
      </c>
      <c r="B88" s="4" t="s">
        <v>78</v>
      </c>
      <c r="C88" s="42">
        <v>41811</v>
      </c>
      <c r="D88" s="4" t="s">
        <v>248</v>
      </c>
      <c r="E88" s="4">
        <v>1</v>
      </c>
      <c r="F88" s="9" t="s">
        <v>204</v>
      </c>
      <c r="G88" s="4">
        <v>37</v>
      </c>
      <c r="H88" s="4" t="s">
        <v>20</v>
      </c>
      <c r="I88" s="7">
        <v>1630</v>
      </c>
      <c r="J88" s="8" t="s">
        <v>13</v>
      </c>
      <c r="K88" s="10" t="s">
        <v>225</v>
      </c>
    </row>
    <row r="89" spans="1:11">
      <c r="A89" s="4">
        <v>5</v>
      </c>
      <c r="B89" s="4" t="s">
        <v>78</v>
      </c>
      <c r="C89" s="42">
        <v>42176</v>
      </c>
      <c r="D89" s="4" t="s">
        <v>249</v>
      </c>
      <c r="E89" s="4">
        <v>2</v>
      </c>
      <c r="F89" s="9" t="s">
        <v>227</v>
      </c>
      <c r="G89" s="4">
        <v>37</v>
      </c>
      <c r="H89" s="4" t="s">
        <v>20</v>
      </c>
      <c r="I89" s="7">
        <v>1635</v>
      </c>
      <c r="J89" s="8"/>
      <c r="K89" s="9" t="s">
        <v>14</v>
      </c>
    </row>
    <row r="90" spans="1:11">
      <c r="A90" s="4">
        <v>5</v>
      </c>
      <c r="B90" s="4" t="s">
        <v>78</v>
      </c>
      <c r="C90" s="42">
        <v>42176</v>
      </c>
      <c r="D90" s="4" t="s">
        <v>250</v>
      </c>
      <c r="E90" s="4">
        <v>1</v>
      </c>
      <c r="F90" s="9" t="s">
        <v>227</v>
      </c>
      <c r="G90" s="4">
        <v>37</v>
      </c>
      <c r="H90" s="4" t="s">
        <v>20</v>
      </c>
      <c r="I90" s="7">
        <v>1629</v>
      </c>
      <c r="J90" s="8" t="s">
        <v>13</v>
      </c>
      <c r="K90" s="9" t="s">
        <v>251</v>
      </c>
    </row>
    <row r="91" spans="1:11">
      <c r="A91" s="4">
        <v>5</v>
      </c>
      <c r="B91" s="4" t="s">
        <v>78</v>
      </c>
      <c r="C91" s="42">
        <v>42176</v>
      </c>
      <c r="D91" s="4" t="s">
        <v>209</v>
      </c>
      <c r="E91" s="4">
        <v>2</v>
      </c>
      <c r="F91" s="9" t="s">
        <v>227</v>
      </c>
      <c r="G91" s="4">
        <v>37</v>
      </c>
      <c r="H91" s="4" t="s">
        <v>20</v>
      </c>
      <c r="I91" s="7">
        <v>1624</v>
      </c>
      <c r="J91" s="8" t="s">
        <v>13</v>
      </c>
      <c r="K91" s="9" t="s">
        <v>251</v>
      </c>
    </row>
    <row r="92" spans="1:11">
      <c r="A92" s="4">
        <v>5</v>
      </c>
      <c r="B92" s="4" t="s">
        <v>78</v>
      </c>
      <c r="C92" s="42">
        <v>42907</v>
      </c>
      <c r="D92" s="4" t="s">
        <v>250</v>
      </c>
      <c r="E92" s="4">
        <v>1</v>
      </c>
      <c r="F92" s="9" t="s">
        <v>238</v>
      </c>
      <c r="G92" s="4">
        <v>37</v>
      </c>
      <c r="H92" s="4" t="s">
        <v>20</v>
      </c>
      <c r="I92" s="7">
        <v>1629</v>
      </c>
      <c r="J92" s="8" t="s">
        <v>13</v>
      </c>
      <c r="K92" s="9" t="s">
        <v>207</v>
      </c>
    </row>
    <row r="93" spans="1:11">
      <c r="A93" s="4">
        <v>5</v>
      </c>
      <c r="B93" s="4" t="s">
        <v>78</v>
      </c>
      <c r="C93" s="42">
        <v>42907</v>
      </c>
      <c r="D93" s="4" t="s">
        <v>209</v>
      </c>
      <c r="E93" s="4">
        <v>2</v>
      </c>
      <c r="F93" s="9" t="s">
        <v>238</v>
      </c>
      <c r="G93" s="4">
        <v>37</v>
      </c>
      <c r="H93" s="4" t="s">
        <v>20</v>
      </c>
      <c r="I93" s="7">
        <v>1624</v>
      </c>
      <c r="J93" s="8" t="s">
        <v>13</v>
      </c>
      <c r="K93" s="9" t="s">
        <v>207</v>
      </c>
    </row>
    <row r="94" spans="1:11">
      <c r="A94" s="4">
        <v>5</v>
      </c>
      <c r="B94" s="4" t="s">
        <v>78</v>
      </c>
      <c r="C94" s="42">
        <v>42907</v>
      </c>
      <c r="D94" s="4" t="s">
        <v>250</v>
      </c>
      <c r="E94" s="4">
        <v>2</v>
      </c>
      <c r="F94" s="9" t="s">
        <v>204</v>
      </c>
      <c r="G94" s="4">
        <v>37</v>
      </c>
      <c r="H94" s="4" t="s">
        <v>20</v>
      </c>
      <c r="I94" s="7">
        <v>1630</v>
      </c>
      <c r="J94" s="8" t="s">
        <v>13</v>
      </c>
      <c r="K94" s="10" t="s">
        <v>252</v>
      </c>
    </row>
    <row r="95" spans="1:11">
      <c r="A95" s="4">
        <v>5</v>
      </c>
      <c r="B95" s="4" t="s">
        <v>78</v>
      </c>
      <c r="C95" s="42">
        <v>42907</v>
      </c>
      <c r="D95" s="4" t="s">
        <v>250</v>
      </c>
      <c r="E95" s="4">
        <v>1</v>
      </c>
      <c r="F95" s="9" t="s">
        <v>204</v>
      </c>
      <c r="G95" s="4">
        <v>37</v>
      </c>
      <c r="H95" s="4" t="s">
        <v>20</v>
      </c>
      <c r="I95" s="7">
        <v>1643</v>
      </c>
      <c r="J95" s="8"/>
      <c r="K95" s="10" t="s">
        <v>253</v>
      </c>
    </row>
    <row r="96" spans="1:11">
      <c r="A96" s="4">
        <v>5</v>
      </c>
      <c r="B96" s="4" t="s">
        <v>78</v>
      </c>
      <c r="C96" s="42">
        <v>45098</v>
      </c>
      <c r="D96" s="4" t="s">
        <v>250</v>
      </c>
      <c r="E96" s="4">
        <v>1</v>
      </c>
      <c r="F96" s="9" t="s">
        <v>254</v>
      </c>
      <c r="G96" s="4">
        <v>37</v>
      </c>
      <c r="H96" s="4" t="s">
        <v>20</v>
      </c>
      <c r="I96" s="7">
        <v>1629</v>
      </c>
      <c r="J96" s="8" t="s">
        <v>13</v>
      </c>
      <c r="K96" s="9" t="s">
        <v>207</v>
      </c>
    </row>
    <row r="97" spans="1:11">
      <c r="A97" s="4">
        <v>5</v>
      </c>
      <c r="B97" s="4" t="s">
        <v>78</v>
      </c>
      <c r="C97" s="42">
        <v>45098</v>
      </c>
      <c r="D97" s="4" t="s">
        <v>209</v>
      </c>
      <c r="E97" s="4">
        <v>2</v>
      </c>
      <c r="F97" s="9" t="s">
        <v>254</v>
      </c>
      <c r="G97" s="4">
        <v>37</v>
      </c>
      <c r="H97" s="4" t="s">
        <v>20</v>
      </c>
      <c r="I97" s="7">
        <v>1625</v>
      </c>
      <c r="J97" s="8" t="s">
        <v>13</v>
      </c>
      <c r="K97" s="9" t="s">
        <v>207</v>
      </c>
    </row>
    <row r="98" spans="1:11">
      <c r="A98" s="4">
        <v>5</v>
      </c>
      <c r="B98" s="4" t="s">
        <v>78</v>
      </c>
      <c r="C98" s="42">
        <v>45098</v>
      </c>
      <c r="D98" s="4" t="s">
        <v>250</v>
      </c>
      <c r="E98" s="4">
        <v>1</v>
      </c>
      <c r="F98" s="9" t="s">
        <v>217</v>
      </c>
      <c r="G98" s="4">
        <v>37</v>
      </c>
      <c r="H98" s="4" t="s">
        <v>20</v>
      </c>
      <c r="I98" s="7">
        <v>1630</v>
      </c>
      <c r="J98" s="8" t="s">
        <v>13</v>
      </c>
      <c r="K98" s="9" t="s">
        <v>255</v>
      </c>
    </row>
    <row r="99" spans="1:11">
      <c r="A99" s="4">
        <v>5</v>
      </c>
      <c r="B99" s="4" t="s">
        <v>78</v>
      </c>
      <c r="C99" s="42">
        <v>45464</v>
      </c>
      <c r="D99" s="4" t="s">
        <v>250</v>
      </c>
      <c r="E99" s="4">
        <v>1</v>
      </c>
      <c r="F99" s="9" t="s">
        <v>233</v>
      </c>
      <c r="G99" s="4">
        <v>37</v>
      </c>
      <c r="H99" s="4" t="s">
        <v>20</v>
      </c>
      <c r="I99" s="7">
        <v>1627</v>
      </c>
      <c r="J99" s="8" t="s">
        <v>13</v>
      </c>
      <c r="K99" s="10" t="s">
        <v>252</v>
      </c>
    </row>
    <row r="100" spans="1:11">
      <c r="A100" s="4">
        <v>5</v>
      </c>
      <c r="B100" s="4" t="s">
        <v>78</v>
      </c>
      <c r="C100" s="42">
        <v>11130</v>
      </c>
      <c r="D100" s="4" t="s">
        <v>203</v>
      </c>
      <c r="E100" s="4">
        <v>2</v>
      </c>
      <c r="F100" s="9" t="s">
        <v>256</v>
      </c>
      <c r="G100" s="4">
        <v>25</v>
      </c>
      <c r="H100" s="4" t="s">
        <v>20</v>
      </c>
      <c r="I100" s="4" t="s">
        <v>257</v>
      </c>
      <c r="J100" s="8" t="s">
        <v>13</v>
      </c>
      <c r="K100" s="10" t="s">
        <v>258</v>
      </c>
    </row>
    <row r="101" spans="1:11">
      <c r="A101" s="4">
        <v>5</v>
      </c>
      <c r="B101" s="4" t="s">
        <v>78</v>
      </c>
      <c r="C101" s="42">
        <v>11130</v>
      </c>
      <c r="D101" s="4" t="s">
        <v>203</v>
      </c>
      <c r="E101" s="6" t="s">
        <v>259</v>
      </c>
      <c r="F101" s="9" t="s">
        <v>256</v>
      </c>
      <c r="G101" s="4">
        <v>25</v>
      </c>
      <c r="H101" s="4" t="s">
        <v>20</v>
      </c>
      <c r="I101" s="4" t="s">
        <v>257</v>
      </c>
      <c r="J101" s="8" t="s">
        <v>13</v>
      </c>
      <c r="K101" s="10" t="s">
        <v>260</v>
      </c>
    </row>
    <row r="102" spans="1:11">
      <c r="A102" s="4">
        <v>5</v>
      </c>
      <c r="B102" s="4" t="s">
        <v>78</v>
      </c>
      <c r="C102" s="42">
        <v>11130</v>
      </c>
      <c r="D102" s="4" t="s">
        <v>18</v>
      </c>
      <c r="E102" s="6" t="s">
        <v>11</v>
      </c>
      <c r="F102" s="9" t="s">
        <v>256</v>
      </c>
      <c r="G102" s="4">
        <v>25</v>
      </c>
      <c r="H102" s="4" t="s">
        <v>20</v>
      </c>
      <c r="I102" s="4" t="s">
        <v>261</v>
      </c>
      <c r="J102" s="8"/>
      <c r="K102" s="10" t="s">
        <v>260</v>
      </c>
    </row>
    <row r="103" spans="1:11">
      <c r="A103" s="4">
        <v>5</v>
      </c>
      <c r="B103" s="4" t="s">
        <v>78</v>
      </c>
      <c r="C103" s="42">
        <v>38554</v>
      </c>
      <c r="D103" s="4" t="s">
        <v>18</v>
      </c>
      <c r="E103" s="6" t="s">
        <v>11</v>
      </c>
      <c r="F103" s="9" t="s">
        <v>216</v>
      </c>
      <c r="G103" s="4">
        <v>37</v>
      </c>
      <c r="H103" s="4" t="s">
        <v>20</v>
      </c>
      <c r="I103" s="7">
        <v>1629</v>
      </c>
      <c r="J103" s="8" t="s">
        <v>13</v>
      </c>
      <c r="K103" s="10" t="s">
        <v>225</v>
      </c>
    </row>
    <row r="104" spans="1:11">
      <c r="A104" s="4">
        <v>5</v>
      </c>
      <c r="B104" s="4" t="s">
        <v>78</v>
      </c>
      <c r="C104" s="42">
        <v>41841</v>
      </c>
      <c r="D104" s="4" t="s">
        <v>18</v>
      </c>
      <c r="E104" s="6" t="s">
        <v>11</v>
      </c>
      <c r="F104" s="9" t="s">
        <v>19</v>
      </c>
      <c r="G104" s="4">
        <v>37</v>
      </c>
      <c r="H104" s="4" t="s">
        <v>20</v>
      </c>
      <c r="I104" s="7">
        <v>1629</v>
      </c>
      <c r="J104" s="8" t="s">
        <v>13</v>
      </c>
      <c r="K104" s="10" t="s">
        <v>225</v>
      </c>
    </row>
    <row r="105" spans="1:11">
      <c r="A105" s="4">
        <v>5</v>
      </c>
      <c r="B105" s="4" t="s">
        <v>78</v>
      </c>
      <c r="C105" s="42">
        <v>41841</v>
      </c>
      <c r="D105" s="4" t="s">
        <v>18</v>
      </c>
      <c r="E105" s="6" t="s">
        <v>11</v>
      </c>
      <c r="F105" s="9" t="s">
        <v>262</v>
      </c>
      <c r="G105" s="4">
        <v>37</v>
      </c>
      <c r="H105" s="4" t="s">
        <v>20</v>
      </c>
      <c r="I105" s="7">
        <v>1629</v>
      </c>
      <c r="J105" s="8" t="s">
        <v>13</v>
      </c>
      <c r="K105" s="10" t="s">
        <v>225</v>
      </c>
    </row>
    <row r="106" spans="1:11">
      <c r="A106" s="4">
        <v>5</v>
      </c>
      <c r="B106" s="4" t="s">
        <v>78</v>
      </c>
      <c r="C106" s="42">
        <v>43698</v>
      </c>
      <c r="D106" s="4" t="s">
        <v>18</v>
      </c>
      <c r="E106" s="6" t="s">
        <v>11</v>
      </c>
      <c r="F106" s="9" t="s">
        <v>23</v>
      </c>
      <c r="G106" s="4">
        <v>37</v>
      </c>
      <c r="H106" s="4" t="s">
        <v>20</v>
      </c>
      <c r="I106" s="4" t="s">
        <v>263</v>
      </c>
      <c r="J106" s="8" t="s">
        <v>13</v>
      </c>
      <c r="K106" s="10" t="s">
        <v>260</v>
      </c>
    </row>
    <row r="107" spans="1:11">
      <c r="A107" s="4">
        <v>6</v>
      </c>
      <c r="B107" s="4" t="s">
        <v>86</v>
      </c>
      <c r="C107" s="42">
        <v>42572</v>
      </c>
      <c r="D107" s="4" t="s">
        <v>202</v>
      </c>
      <c r="E107" s="4"/>
      <c r="G107" s="4">
        <v>25</v>
      </c>
      <c r="H107" s="4" t="s">
        <v>12</v>
      </c>
      <c r="I107" s="7" t="s">
        <v>264</v>
      </c>
      <c r="J107" s="8" t="s">
        <v>13</v>
      </c>
      <c r="K107" s="9" t="s">
        <v>241</v>
      </c>
    </row>
    <row r="108" spans="1:11">
      <c r="A108" s="4">
        <v>7</v>
      </c>
      <c r="B108" s="4" t="s">
        <v>91</v>
      </c>
      <c r="C108" s="42">
        <v>42572</v>
      </c>
      <c r="D108" s="4" t="s">
        <v>202</v>
      </c>
      <c r="E108" s="4"/>
      <c r="G108" s="4">
        <v>25</v>
      </c>
      <c r="H108" s="4" t="s">
        <v>12</v>
      </c>
      <c r="I108" s="7">
        <v>1624</v>
      </c>
      <c r="J108" s="8" t="s">
        <v>13</v>
      </c>
      <c r="K108" s="9" t="s">
        <v>241</v>
      </c>
    </row>
    <row r="109" spans="1:11">
      <c r="A109" s="4">
        <v>8</v>
      </c>
      <c r="B109" s="4" t="s">
        <v>95</v>
      </c>
      <c r="C109" s="42">
        <v>11069</v>
      </c>
      <c r="D109" s="4" t="s">
        <v>10</v>
      </c>
      <c r="E109" s="4">
        <v>2</v>
      </c>
      <c r="G109" s="4">
        <v>25</v>
      </c>
      <c r="H109" s="4" t="s">
        <v>12</v>
      </c>
      <c r="I109" s="7">
        <v>1633</v>
      </c>
      <c r="J109" s="8" t="s">
        <v>13</v>
      </c>
      <c r="K109" s="9" t="s">
        <v>14</v>
      </c>
    </row>
    <row r="110" spans="1:11">
      <c r="A110" s="4">
        <v>8</v>
      </c>
      <c r="B110" s="5" t="s">
        <v>15</v>
      </c>
      <c r="C110" s="42">
        <v>11069</v>
      </c>
      <c r="D110" s="4" t="s">
        <v>10</v>
      </c>
      <c r="E110" s="4"/>
      <c r="G110" s="4">
        <v>25</v>
      </c>
      <c r="H110" s="4" t="s">
        <v>12</v>
      </c>
      <c r="I110" s="7">
        <v>1632</v>
      </c>
      <c r="J110" s="8" t="s">
        <v>13</v>
      </c>
      <c r="K110" s="9" t="s">
        <v>14</v>
      </c>
    </row>
    <row r="111" spans="1:11">
      <c r="A111" s="4">
        <v>8</v>
      </c>
      <c r="B111" s="4" t="s">
        <v>95</v>
      </c>
      <c r="C111" s="42">
        <v>41415</v>
      </c>
      <c r="D111" s="4" t="s">
        <v>265</v>
      </c>
      <c r="E111" s="4"/>
      <c r="G111" s="4">
        <v>24</v>
      </c>
      <c r="H111" s="4" t="s">
        <v>12</v>
      </c>
      <c r="I111" s="52" t="s">
        <v>266</v>
      </c>
      <c r="J111" s="53" t="s">
        <v>267</v>
      </c>
      <c r="K111" s="9" t="s">
        <v>241</v>
      </c>
    </row>
    <row r="112" spans="1:11">
      <c r="A112" s="4">
        <v>9</v>
      </c>
      <c r="B112" s="4" t="s">
        <v>100</v>
      </c>
      <c r="C112" s="42">
        <v>42572</v>
      </c>
      <c r="D112" s="4" t="s">
        <v>202</v>
      </c>
      <c r="E112" s="4"/>
      <c r="G112" s="4">
        <v>25</v>
      </c>
      <c r="H112" s="4" t="s">
        <v>12</v>
      </c>
      <c r="I112" s="7">
        <v>1630</v>
      </c>
      <c r="J112" s="8" t="s">
        <v>13</v>
      </c>
      <c r="K112" s="9" t="s">
        <v>241</v>
      </c>
    </row>
    <row r="113" spans="1:11">
      <c r="A113" s="4">
        <v>10</v>
      </c>
      <c r="B113" s="4" t="s">
        <v>106</v>
      </c>
      <c r="C113" s="42">
        <v>42572</v>
      </c>
      <c r="D113" s="4" t="s">
        <v>202</v>
      </c>
      <c r="E113" s="4"/>
      <c r="G113" s="4">
        <v>25</v>
      </c>
      <c r="H113" s="4" t="s">
        <v>12</v>
      </c>
      <c r="I113" s="7">
        <v>1625</v>
      </c>
      <c r="J113" s="8" t="s">
        <v>13</v>
      </c>
      <c r="K113" s="9" t="s">
        <v>241</v>
      </c>
    </row>
    <row r="114" spans="1:11">
      <c r="A114" s="4">
        <v>11</v>
      </c>
      <c r="B114" s="4" t="s">
        <v>114</v>
      </c>
      <c r="C114" s="42">
        <v>42572</v>
      </c>
      <c r="D114" s="4" t="s">
        <v>202</v>
      </c>
      <c r="E114" s="4"/>
      <c r="G114" s="4">
        <v>25</v>
      </c>
      <c r="H114" s="4" t="s">
        <v>12</v>
      </c>
      <c r="I114" s="7">
        <v>1624</v>
      </c>
      <c r="J114" s="8" t="s">
        <v>13</v>
      </c>
      <c r="K114" s="9" t="s">
        <v>241</v>
      </c>
    </row>
    <row r="115" spans="1:11">
      <c r="A115" s="4">
        <v>12</v>
      </c>
      <c r="B115" s="4" t="s">
        <v>119</v>
      </c>
      <c r="C115" s="42">
        <v>42572</v>
      </c>
      <c r="D115" s="4" t="s">
        <v>202</v>
      </c>
      <c r="E115" s="4"/>
      <c r="G115" s="4">
        <v>25</v>
      </c>
      <c r="H115" s="4" t="s">
        <v>12</v>
      </c>
      <c r="I115" s="7">
        <v>1630</v>
      </c>
      <c r="J115" s="8" t="s">
        <v>13</v>
      </c>
      <c r="K115" s="9" t="s">
        <v>241</v>
      </c>
    </row>
    <row r="116" spans="1:11">
      <c r="A116" s="4">
        <v>13</v>
      </c>
      <c r="B116" s="4" t="s">
        <v>125</v>
      </c>
      <c r="C116" s="42">
        <v>42572</v>
      </c>
      <c r="D116" s="4" t="s">
        <v>202</v>
      </c>
      <c r="E116" s="4"/>
      <c r="G116" s="4">
        <v>25</v>
      </c>
      <c r="H116" s="4" t="s">
        <v>12</v>
      </c>
      <c r="I116" s="7">
        <v>1617</v>
      </c>
      <c r="J116" s="8" t="s">
        <v>13</v>
      </c>
      <c r="K116" s="9" t="s">
        <v>241</v>
      </c>
    </row>
    <row r="117" spans="1:11">
      <c r="A117" s="4">
        <v>14</v>
      </c>
      <c r="B117" s="4" t="s">
        <v>134</v>
      </c>
      <c r="C117" s="42">
        <v>42572</v>
      </c>
      <c r="D117" s="4" t="s">
        <v>202</v>
      </c>
      <c r="E117" s="4"/>
      <c r="G117" s="4">
        <v>25</v>
      </c>
      <c r="H117" s="4" t="s">
        <v>12</v>
      </c>
      <c r="I117" s="7">
        <v>1617</v>
      </c>
      <c r="J117" s="8" t="s">
        <v>13</v>
      </c>
      <c r="K117" s="9" t="s">
        <v>241</v>
      </c>
    </row>
    <row r="118" spans="1:11">
      <c r="A118" s="4">
        <v>15</v>
      </c>
      <c r="B118" s="4" t="s">
        <v>141</v>
      </c>
      <c r="C118" s="42">
        <v>42572</v>
      </c>
      <c r="D118" s="4" t="s">
        <v>202</v>
      </c>
      <c r="E118" s="4"/>
      <c r="G118" s="4">
        <v>25</v>
      </c>
      <c r="H118" s="4" t="s">
        <v>12</v>
      </c>
      <c r="I118" s="7">
        <v>1621</v>
      </c>
      <c r="J118" s="8" t="s">
        <v>13</v>
      </c>
      <c r="K118" s="9" t="s">
        <v>241</v>
      </c>
    </row>
    <row r="119" spans="1:11">
      <c r="A119" s="4">
        <v>16</v>
      </c>
      <c r="B119" s="4" t="s">
        <v>146</v>
      </c>
      <c r="C119" s="42">
        <v>39589</v>
      </c>
      <c r="D119" s="4" t="s">
        <v>10</v>
      </c>
      <c r="E119" s="4">
        <v>2</v>
      </c>
      <c r="G119" s="4">
        <v>25</v>
      </c>
      <c r="H119" s="4" t="s">
        <v>12</v>
      </c>
      <c r="I119" s="7" t="s">
        <v>268</v>
      </c>
      <c r="J119" s="8"/>
      <c r="K119" s="9" t="s">
        <v>14</v>
      </c>
    </row>
    <row r="120" spans="1:11">
      <c r="A120" s="4">
        <v>16</v>
      </c>
      <c r="B120" s="5" t="s">
        <v>16</v>
      </c>
      <c r="C120" s="42">
        <v>39589</v>
      </c>
      <c r="D120" s="4" t="s">
        <v>10</v>
      </c>
      <c r="E120" s="4"/>
      <c r="G120" s="4">
        <v>25</v>
      </c>
      <c r="H120" s="4" t="s">
        <v>12</v>
      </c>
      <c r="I120" s="7" t="s">
        <v>17</v>
      </c>
      <c r="J120" s="8"/>
      <c r="K120" s="9" t="s">
        <v>14</v>
      </c>
    </row>
    <row r="121" spans="1:11">
      <c r="A121" s="4">
        <v>16</v>
      </c>
      <c r="B121" s="4" t="s">
        <v>146</v>
      </c>
      <c r="C121" s="42">
        <v>41415</v>
      </c>
      <c r="D121" s="4" t="s">
        <v>202</v>
      </c>
      <c r="E121" s="4"/>
      <c r="G121" s="4">
        <v>24</v>
      </c>
      <c r="H121" s="4" t="s">
        <v>12</v>
      </c>
      <c r="I121" s="7">
        <v>1629</v>
      </c>
      <c r="J121" s="8" t="s">
        <v>13</v>
      </c>
      <c r="K121" s="9" t="s">
        <v>241</v>
      </c>
    </row>
    <row r="122" spans="1:11">
      <c r="A122" s="4">
        <v>16</v>
      </c>
      <c r="B122" s="4" t="s">
        <v>146</v>
      </c>
      <c r="C122" s="42">
        <v>38554</v>
      </c>
      <c r="D122" s="4" t="s">
        <v>18</v>
      </c>
      <c r="E122" s="6" t="s">
        <v>11</v>
      </c>
      <c r="F122" s="9" t="s">
        <v>216</v>
      </c>
      <c r="G122" s="4">
        <v>37</v>
      </c>
      <c r="H122" s="4" t="s">
        <v>20</v>
      </c>
      <c r="I122" s="4">
        <v>1680</v>
      </c>
      <c r="J122" s="8"/>
      <c r="K122" s="10" t="s">
        <v>21</v>
      </c>
    </row>
    <row r="123" spans="1:11">
      <c r="A123" s="4">
        <v>16</v>
      </c>
      <c r="B123" s="4" t="s">
        <v>146</v>
      </c>
      <c r="C123" s="42">
        <v>38919</v>
      </c>
      <c r="D123" s="4" t="s">
        <v>202</v>
      </c>
      <c r="E123" s="4"/>
      <c r="G123" s="4">
        <v>37</v>
      </c>
      <c r="H123" s="4" t="s">
        <v>12</v>
      </c>
      <c r="I123" s="4" t="s">
        <v>269</v>
      </c>
      <c r="J123" s="8" t="s">
        <v>13</v>
      </c>
      <c r="K123" s="9" t="s">
        <v>241</v>
      </c>
    </row>
    <row r="124" spans="1:11">
      <c r="A124" s="4">
        <v>16</v>
      </c>
      <c r="B124" s="4" t="s">
        <v>146</v>
      </c>
      <c r="C124" s="42">
        <v>38919</v>
      </c>
      <c r="D124" s="4" t="s">
        <v>203</v>
      </c>
      <c r="E124" s="4">
        <v>1</v>
      </c>
      <c r="F124" s="9" t="s">
        <v>204</v>
      </c>
      <c r="G124" s="4">
        <v>37</v>
      </c>
      <c r="H124" s="4" t="s">
        <v>12</v>
      </c>
      <c r="I124" s="4" t="s">
        <v>270</v>
      </c>
      <c r="J124" s="8" t="s">
        <v>13</v>
      </c>
      <c r="K124" s="10" t="s">
        <v>271</v>
      </c>
    </row>
    <row r="125" spans="1:11">
      <c r="A125" s="4">
        <v>16</v>
      </c>
      <c r="B125" s="4" t="s">
        <v>146</v>
      </c>
      <c r="C125" s="42">
        <v>38919</v>
      </c>
      <c r="D125" s="4" t="s">
        <v>18</v>
      </c>
      <c r="E125" s="6" t="s">
        <v>11</v>
      </c>
      <c r="F125" s="9" t="s">
        <v>272</v>
      </c>
      <c r="G125" s="4">
        <v>37</v>
      </c>
      <c r="H125" s="4" t="s">
        <v>12</v>
      </c>
      <c r="I125" s="4">
        <v>1676</v>
      </c>
      <c r="J125" s="8"/>
      <c r="K125" s="10" t="s">
        <v>273</v>
      </c>
    </row>
    <row r="126" spans="1:11">
      <c r="A126" s="4">
        <v>16</v>
      </c>
      <c r="B126" s="4" t="s">
        <v>146</v>
      </c>
      <c r="C126" s="42">
        <v>38919</v>
      </c>
      <c r="D126" s="4" t="s">
        <v>18</v>
      </c>
      <c r="E126" s="6" t="s">
        <v>11</v>
      </c>
      <c r="F126" s="9" t="s">
        <v>274</v>
      </c>
      <c r="G126" s="4">
        <v>37</v>
      </c>
      <c r="H126" s="4" t="s">
        <v>12</v>
      </c>
      <c r="I126" s="4">
        <v>1676</v>
      </c>
      <c r="J126" s="8"/>
      <c r="K126" s="10" t="s">
        <v>273</v>
      </c>
    </row>
    <row r="127" spans="1:11">
      <c r="A127" s="4">
        <v>16</v>
      </c>
      <c r="B127" s="4" t="s">
        <v>146</v>
      </c>
      <c r="C127" s="42">
        <v>38919</v>
      </c>
      <c r="D127" s="4" t="s">
        <v>18</v>
      </c>
      <c r="E127" s="6" t="s">
        <v>11</v>
      </c>
      <c r="F127" s="9" t="s">
        <v>275</v>
      </c>
      <c r="G127" s="4">
        <v>37</v>
      </c>
      <c r="H127" s="4" t="s">
        <v>12</v>
      </c>
      <c r="I127" s="4">
        <v>1675</v>
      </c>
      <c r="J127" s="8"/>
      <c r="K127" s="10" t="s">
        <v>276</v>
      </c>
    </row>
    <row r="128" spans="1:11">
      <c r="A128" s="4">
        <v>16</v>
      </c>
      <c r="B128" s="4" t="s">
        <v>146</v>
      </c>
      <c r="C128" s="42">
        <v>39284</v>
      </c>
      <c r="D128" s="4" t="s">
        <v>18</v>
      </c>
      <c r="E128" s="6" t="s">
        <v>11</v>
      </c>
      <c r="F128" s="9" t="s">
        <v>277</v>
      </c>
      <c r="G128" s="4">
        <v>37</v>
      </c>
      <c r="H128" s="4" t="s">
        <v>12</v>
      </c>
      <c r="I128" s="4">
        <v>1680</v>
      </c>
      <c r="J128" s="8"/>
      <c r="K128" s="10" t="s">
        <v>21</v>
      </c>
    </row>
    <row r="129" spans="1:11">
      <c r="A129" s="4">
        <v>16</v>
      </c>
      <c r="B129" s="4" t="s">
        <v>146</v>
      </c>
      <c r="C129" s="42">
        <v>39284</v>
      </c>
      <c r="D129" s="4" t="s">
        <v>18</v>
      </c>
      <c r="E129" s="6" t="s">
        <v>11</v>
      </c>
      <c r="F129" s="9" t="s">
        <v>278</v>
      </c>
      <c r="G129" s="4">
        <v>37</v>
      </c>
      <c r="H129" s="4" t="s">
        <v>12</v>
      </c>
      <c r="I129" s="4">
        <v>1680</v>
      </c>
      <c r="J129" s="8"/>
      <c r="K129" s="10" t="s">
        <v>279</v>
      </c>
    </row>
    <row r="130" spans="1:11">
      <c r="A130" s="4">
        <v>16</v>
      </c>
      <c r="B130" s="4" t="s">
        <v>146</v>
      </c>
      <c r="C130" s="42">
        <v>39284</v>
      </c>
      <c r="D130" s="4" t="s">
        <v>18</v>
      </c>
      <c r="E130" s="6" t="s">
        <v>11</v>
      </c>
      <c r="F130" s="9" t="s">
        <v>280</v>
      </c>
      <c r="G130" s="4">
        <v>37</v>
      </c>
      <c r="H130" s="4" t="s">
        <v>12</v>
      </c>
      <c r="I130" s="4">
        <v>1681</v>
      </c>
      <c r="J130" s="8"/>
      <c r="K130" s="10" t="s">
        <v>21</v>
      </c>
    </row>
    <row r="131" spans="1:11">
      <c r="A131" s="4">
        <v>16</v>
      </c>
      <c r="B131" s="4" t="s">
        <v>146</v>
      </c>
      <c r="C131" s="42">
        <v>39284</v>
      </c>
      <c r="D131" s="4" t="s">
        <v>203</v>
      </c>
      <c r="E131" s="6" t="s">
        <v>259</v>
      </c>
      <c r="F131" s="9" t="s">
        <v>227</v>
      </c>
      <c r="G131" s="4">
        <v>37</v>
      </c>
      <c r="H131" s="4" t="s">
        <v>12</v>
      </c>
      <c r="I131" s="4" t="s">
        <v>281</v>
      </c>
      <c r="J131" s="8" t="s">
        <v>13</v>
      </c>
      <c r="K131" s="9" t="s">
        <v>282</v>
      </c>
    </row>
    <row r="132" spans="1:11">
      <c r="A132" s="4">
        <v>16</v>
      </c>
      <c r="B132" s="4" t="s">
        <v>146</v>
      </c>
      <c r="C132" s="42">
        <v>41476</v>
      </c>
      <c r="D132" s="4" t="s">
        <v>203</v>
      </c>
      <c r="E132" s="4">
        <v>1</v>
      </c>
      <c r="F132" s="9" t="s">
        <v>233</v>
      </c>
      <c r="G132" s="4">
        <v>37</v>
      </c>
      <c r="H132" s="4" t="s">
        <v>12</v>
      </c>
      <c r="I132" s="4" t="s">
        <v>283</v>
      </c>
      <c r="J132" s="8" t="s">
        <v>13</v>
      </c>
      <c r="K132" s="9" t="s">
        <v>282</v>
      </c>
    </row>
    <row r="133" spans="1:11">
      <c r="A133" s="4">
        <v>16</v>
      </c>
      <c r="B133" s="4" t="s">
        <v>146</v>
      </c>
      <c r="C133" s="42">
        <v>41476</v>
      </c>
      <c r="D133" s="4" t="s">
        <v>18</v>
      </c>
      <c r="E133" s="6" t="s">
        <v>11</v>
      </c>
      <c r="F133" s="9" t="s">
        <v>284</v>
      </c>
      <c r="G133" s="4">
        <v>37</v>
      </c>
      <c r="H133" s="4" t="s">
        <v>12</v>
      </c>
      <c r="I133" s="4">
        <v>1679</v>
      </c>
      <c r="J133" s="8"/>
      <c r="K133" s="10" t="s">
        <v>21</v>
      </c>
    </row>
    <row r="134" spans="1:11">
      <c r="A134" s="4">
        <v>16</v>
      </c>
      <c r="B134" s="4" t="s">
        <v>146</v>
      </c>
      <c r="C134" s="42">
        <v>41476</v>
      </c>
      <c r="D134" s="4" t="s">
        <v>18</v>
      </c>
      <c r="E134" s="6" t="s">
        <v>11</v>
      </c>
      <c r="F134" s="9" t="s">
        <v>285</v>
      </c>
      <c r="G134" s="4">
        <v>37</v>
      </c>
      <c r="H134" s="4" t="s">
        <v>12</v>
      </c>
      <c r="I134" s="31">
        <v>1679</v>
      </c>
      <c r="J134" s="8"/>
      <c r="K134" s="10" t="s">
        <v>21</v>
      </c>
    </row>
    <row r="135" spans="1:11">
      <c r="A135" s="4">
        <v>16</v>
      </c>
      <c r="B135" s="4" t="s">
        <v>146</v>
      </c>
      <c r="C135" s="42">
        <v>41476</v>
      </c>
      <c r="D135" s="4" t="s">
        <v>18</v>
      </c>
      <c r="E135" s="6" t="s">
        <v>11</v>
      </c>
      <c r="F135" s="9" t="s">
        <v>286</v>
      </c>
      <c r="G135" s="4">
        <v>37</v>
      </c>
      <c r="H135" s="4" t="s">
        <v>12</v>
      </c>
      <c r="I135" s="4">
        <v>1679</v>
      </c>
      <c r="J135" s="8"/>
      <c r="K135" s="10" t="s">
        <v>21</v>
      </c>
    </row>
    <row r="136" spans="1:11">
      <c r="A136" s="4">
        <v>16</v>
      </c>
      <c r="B136" s="4" t="s">
        <v>146</v>
      </c>
      <c r="C136" s="42">
        <v>41841</v>
      </c>
      <c r="D136" s="4" t="s">
        <v>18</v>
      </c>
      <c r="E136" s="6" t="s">
        <v>11</v>
      </c>
      <c r="F136" s="9" t="s">
        <v>19</v>
      </c>
      <c r="G136" s="4">
        <v>37</v>
      </c>
      <c r="H136" s="4" t="s">
        <v>20</v>
      </c>
      <c r="I136" s="54" t="s">
        <v>287</v>
      </c>
      <c r="J136" s="8"/>
      <c r="K136" s="10" t="s">
        <v>21</v>
      </c>
    </row>
    <row r="137" spans="1:11">
      <c r="A137" s="4">
        <v>16</v>
      </c>
      <c r="B137" s="5" t="s">
        <v>16</v>
      </c>
      <c r="C137" s="42">
        <v>41841</v>
      </c>
      <c r="D137" s="4" t="s">
        <v>18</v>
      </c>
      <c r="E137" s="6" t="s">
        <v>11</v>
      </c>
      <c r="F137" s="9" t="s">
        <v>19</v>
      </c>
      <c r="G137" s="4">
        <v>37</v>
      </c>
      <c r="H137" s="4" t="s">
        <v>20</v>
      </c>
      <c r="I137" s="4">
        <v>1670</v>
      </c>
      <c r="J137" s="8"/>
      <c r="K137" s="10" t="s">
        <v>21</v>
      </c>
    </row>
    <row r="138" spans="1:11">
      <c r="A138" s="4">
        <v>16</v>
      </c>
      <c r="B138" s="4" t="s">
        <v>146</v>
      </c>
      <c r="C138" s="42">
        <v>11160</v>
      </c>
      <c r="D138" s="4" t="s">
        <v>18</v>
      </c>
      <c r="E138" s="6" t="s">
        <v>11</v>
      </c>
      <c r="F138" s="9" t="s">
        <v>22</v>
      </c>
      <c r="G138" s="4">
        <v>37</v>
      </c>
      <c r="H138" s="4" t="s">
        <v>20</v>
      </c>
      <c r="I138" s="4" t="s">
        <v>288</v>
      </c>
      <c r="J138" s="8"/>
      <c r="K138" s="10" t="s">
        <v>21</v>
      </c>
    </row>
    <row r="139" spans="1:11">
      <c r="A139" s="4">
        <v>16</v>
      </c>
      <c r="B139" s="5" t="s">
        <v>16</v>
      </c>
      <c r="C139" s="42">
        <v>11160</v>
      </c>
      <c r="D139" s="4" t="s">
        <v>18</v>
      </c>
      <c r="E139" s="6" t="s">
        <v>11</v>
      </c>
      <c r="F139" s="9" t="s">
        <v>22</v>
      </c>
      <c r="G139" s="4">
        <v>37</v>
      </c>
      <c r="H139" s="4" t="s">
        <v>20</v>
      </c>
      <c r="I139" s="4">
        <v>1679</v>
      </c>
      <c r="J139" s="8"/>
      <c r="K139" s="10" t="s">
        <v>21</v>
      </c>
    </row>
    <row r="140" spans="1:11">
      <c r="A140" s="4">
        <v>16</v>
      </c>
      <c r="B140" s="4" t="s">
        <v>146</v>
      </c>
      <c r="C140" s="42">
        <v>43333</v>
      </c>
      <c r="D140" s="4" t="s">
        <v>18</v>
      </c>
      <c r="E140" s="6" t="s">
        <v>11</v>
      </c>
      <c r="F140" s="9" t="s">
        <v>289</v>
      </c>
      <c r="G140" s="4">
        <v>37</v>
      </c>
      <c r="H140" s="4" t="s">
        <v>20</v>
      </c>
      <c r="I140" s="4" t="s">
        <v>290</v>
      </c>
      <c r="J140" s="8"/>
      <c r="K140" s="10" t="s">
        <v>291</v>
      </c>
    </row>
    <row r="141" spans="1:11">
      <c r="A141" s="4">
        <v>16</v>
      </c>
      <c r="B141" s="4" t="s">
        <v>146</v>
      </c>
      <c r="C141" s="42">
        <v>43698</v>
      </c>
      <c r="D141" s="4" t="s">
        <v>18</v>
      </c>
      <c r="E141" s="6" t="s">
        <v>11</v>
      </c>
      <c r="F141" s="9" t="s">
        <v>23</v>
      </c>
      <c r="G141" s="4">
        <v>37</v>
      </c>
      <c r="H141" s="4" t="s">
        <v>20</v>
      </c>
      <c r="I141" s="4" t="s">
        <v>290</v>
      </c>
      <c r="J141" s="8"/>
      <c r="K141" s="10" t="s">
        <v>292</v>
      </c>
    </row>
    <row r="142" spans="1:11">
      <c r="A142" s="4">
        <v>16</v>
      </c>
      <c r="B142" s="5" t="s">
        <v>16</v>
      </c>
      <c r="C142" s="42">
        <v>43698</v>
      </c>
      <c r="D142" s="4" t="s">
        <v>18</v>
      </c>
      <c r="E142" s="6" t="s">
        <v>11</v>
      </c>
      <c r="F142" s="9" t="s">
        <v>23</v>
      </c>
      <c r="G142" s="4">
        <v>37</v>
      </c>
      <c r="H142" s="4" t="s">
        <v>20</v>
      </c>
      <c r="I142" s="4" t="s">
        <v>24</v>
      </c>
      <c r="J142" s="8"/>
      <c r="K142" s="10" t="s">
        <v>21</v>
      </c>
    </row>
    <row r="143" spans="1:11">
      <c r="A143" s="4">
        <v>17</v>
      </c>
      <c r="B143" s="4" t="s">
        <v>155</v>
      </c>
      <c r="C143" s="42">
        <v>39223</v>
      </c>
      <c r="D143" s="4" t="s">
        <v>10</v>
      </c>
      <c r="E143" s="4">
        <v>2</v>
      </c>
      <c r="G143" s="4">
        <v>25</v>
      </c>
      <c r="H143" s="4" t="s">
        <v>12</v>
      </c>
      <c r="I143" s="4" t="s">
        <v>269</v>
      </c>
      <c r="J143" s="8"/>
      <c r="K143" s="9" t="s">
        <v>14</v>
      </c>
    </row>
    <row r="144" spans="1:11">
      <c r="A144" s="4">
        <v>17</v>
      </c>
      <c r="B144" s="5" t="s">
        <v>25</v>
      </c>
      <c r="C144" s="42">
        <v>39589</v>
      </c>
      <c r="D144" s="4" t="s">
        <v>10</v>
      </c>
      <c r="E144" s="4"/>
      <c r="G144" s="4">
        <v>25</v>
      </c>
      <c r="H144" s="4" t="s">
        <v>12</v>
      </c>
      <c r="I144" s="7" t="s">
        <v>17</v>
      </c>
      <c r="J144" s="8"/>
      <c r="K144" s="9" t="s">
        <v>14</v>
      </c>
    </row>
    <row r="145" spans="1:11">
      <c r="A145" s="4">
        <v>17</v>
      </c>
      <c r="B145" s="4" t="s">
        <v>155</v>
      </c>
      <c r="C145" s="42">
        <v>41415</v>
      </c>
      <c r="D145" s="4" t="s">
        <v>202</v>
      </c>
      <c r="E145" s="4"/>
      <c r="G145" s="4">
        <v>24</v>
      </c>
      <c r="H145" s="4" t="s">
        <v>12</v>
      </c>
      <c r="I145" s="7">
        <v>1621</v>
      </c>
      <c r="J145" s="8" t="s">
        <v>13</v>
      </c>
      <c r="K145" s="9" t="s">
        <v>241</v>
      </c>
    </row>
    <row r="146" spans="1:11">
      <c r="A146" s="4">
        <v>17</v>
      </c>
      <c r="B146" s="4" t="s">
        <v>155</v>
      </c>
      <c r="C146" s="42">
        <v>41841</v>
      </c>
      <c r="D146" s="4" t="s">
        <v>18</v>
      </c>
      <c r="E146" s="6" t="s">
        <v>11</v>
      </c>
      <c r="F146" s="9" t="s">
        <v>19</v>
      </c>
      <c r="G146" s="4">
        <v>37</v>
      </c>
      <c r="H146" s="4" t="s">
        <v>20</v>
      </c>
      <c r="I146" s="4">
        <v>1681</v>
      </c>
      <c r="J146" s="8"/>
      <c r="K146" s="10" t="s">
        <v>21</v>
      </c>
    </row>
    <row r="147" spans="1:11">
      <c r="A147" s="4">
        <v>17</v>
      </c>
      <c r="B147" s="4" t="s">
        <v>155</v>
      </c>
      <c r="C147" s="42">
        <v>11160</v>
      </c>
      <c r="D147" s="4" t="s">
        <v>18</v>
      </c>
      <c r="E147" s="6" t="s">
        <v>11</v>
      </c>
      <c r="F147" s="9" t="s">
        <v>22</v>
      </c>
      <c r="G147" s="4">
        <v>37</v>
      </c>
      <c r="H147" s="4" t="s">
        <v>20</v>
      </c>
      <c r="I147" s="4">
        <v>1681</v>
      </c>
      <c r="J147" s="8"/>
      <c r="K147" s="10" t="s">
        <v>21</v>
      </c>
    </row>
    <row r="148" spans="1:11">
      <c r="A148" s="4">
        <v>17</v>
      </c>
      <c r="B148" s="4" t="s">
        <v>155</v>
      </c>
      <c r="C148" s="42">
        <v>43698</v>
      </c>
      <c r="D148" s="4" t="s">
        <v>18</v>
      </c>
      <c r="E148" s="6" t="s">
        <v>11</v>
      </c>
      <c r="F148" s="9" t="s">
        <v>23</v>
      </c>
      <c r="G148" s="4">
        <v>37</v>
      </c>
      <c r="H148" s="4" t="s">
        <v>20</v>
      </c>
      <c r="I148" s="4">
        <v>1681</v>
      </c>
      <c r="J148" s="8"/>
      <c r="K148" s="10" t="s">
        <v>293</v>
      </c>
    </row>
    <row r="149" spans="1:11">
      <c r="A149" s="4">
        <v>18</v>
      </c>
      <c r="B149" s="4" t="s">
        <v>160</v>
      </c>
      <c r="C149" s="42">
        <v>42572</v>
      </c>
      <c r="D149" s="4" t="s">
        <v>202</v>
      </c>
      <c r="E149" s="4"/>
      <c r="G149" s="4">
        <v>25</v>
      </c>
      <c r="H149" s="4" t="s">
        <v>12</v>
      </c>
      <c r="I149" s="7">
        <v>1626</v>
      </c>
      <c r="J149" s="8" t="s">
        <v>13</v>
      </c>
      <c r="K149" s="9" t="s">
        <v>241</v>
      </c>
    </row>
    <row r="150" spans="1:11">
      <c r="A150" s="4">
        <v>19</v>
      </c>
      <c r="B150" s="4" t="s">
        <v>171</v>
      </c>
      <c r="C150" s="42">
        <v>42907</v>
      </c>
      <c r="D150" s="4" t="s">
        <v>202</v>
      </c>
      <c r="E150" s="4"/>
      <c r="G150" s="4">
        <v>37</v>
      </c>
      <c r="H150" s="4" t="s">
        <v>12</v>
      </c>
      <c r="I150" s="7">
        <v>1624</v>
      </c>
      <c r="J150" s="8" t="s">
        <v>13</v>
      </c>
      <c r="K150" s="9" t="s">
        <v>241</v>
      </c>
    </row>
    <row r="151" spans="1:11">
      <c r="A151" s="4">
        <v>19</v>
      </c>
      <c r="B151" s="4" t="s">
        <v>171</v>
      </c>
      <c r="C151" s="42">
        <v>42907</v>
      </c>
      <c r="D151" s="4" t="s">
        <v>209</v>
      </c>
      <c r="E151" s="4">
        <v>2</v>
      </c>
      <c r="F151" s="9" t="s">
        <v>204</v>
      </c>
      <c r="G151" s="4">
        <v>37</v>
      </c>
      <c r="H151" s="4" t="s">
        <v>12</v>
      </c>
      <c r="I151" s="4" t="s">
        <v>294</v>
      </c>
      <c r="J151" s="8" t="s">
        <v>13</v>
      </c>
    </row>
    <row r="152" spans="1:11">
      <c r="A152" s="4">
        <v>19</v>
      </c>
      <c r="B152" s="4" t="s">
        <v>171</v>
      </c>
      <c r="C152" s="42">
        <v>43272</v>
      </c>
      <c r="D152" s="4" t="s">
        <v>209</v>
      </c>
      <c r="E152" s="4">
        <v>2</v>
      </c>
      <c r="F152" s="9" t="s">
        <v>227</v>
      </c>
      <c r="G152" s="4">
        <v>37</v>
      </c>
      <c r="H152" s="4" t="s">
        <v>12</v>
      </c>
      <c r="I152" s="4" t="s">
        <v>295</v>
      </c>
      <c r="J152" s="8" t="s">
        <v>13</v>
      </c>
      <c r="K152" s="9" t="s">
        <v>207</v>
      </c>
    </row>
    <row r="153" spans="1:11">
      <c r="A153" s="4">
        <v>19</v>
      </c>
      <c r="B153" s="4" t="s">
        <v>171</v>
      </c>
      <c r="C153" s="42">
        <v>43272</v>
      </c>
      <c r="D153" s="4" t="s">
        <v>209</v>
      </c>
      <c r="E153" s="4">
        <v>2</v>
      </c>
      <c r="F153" s="9" t="s">
        <v>296</v>
      </c>
      <c r="G153" s="4">
        <v>37</v>
      </c>
      <c r="H153" s="4" t="s">
        <v>12</v>
      </c>
      <c r="I153" s="4" t="s">
        <v>295</v>
      </c>
      <c r="J153" s="8" t="s">
        <v>13</v>
      </c>
      <c r="K153" s="9" t="s">
        <v>207</v>
      </c>
    </row>
    <row r="154" spans="1:11">
      <c r="A154" s="4">
        <v>19</v>
      </c>
      <c r="B154" s="4" t="s">
        <v>171</v>
      </c>
      <c r="C154" s="42">
        <v>44033</v>
      </c>
      <c r="D154" s="4" t="s">
        <v>209</v>
      </c>
      <c r="E154" s="4">
        <v>2</v>
      </c>
      <c r="F154" s="9" t="s">
        <v>204</v>
      </c>
      <c r="G154" s="44" t="s">
        <v>297</v>
      </c>
      <c r="H154" s="4" t="s">
        <v>12</v>
      </c>
      <c r="I154" s="4" t="s">
        <v>298</v>
      </c>
      <c r="J154" s="8" t="s">
        <v>13</v>
      </c>
    </row>
    <row r="155" spans="1:11">
      <c r="A155" s="4">
        <v>19</v>
      </c>
      <c r="B155" s="4" t="s">
        <v>171</v>
      </c>
      <c r="C155" s="42">
        <v>46955</v>
      </c>
      <c r="D155" s="4" t="s">
        <v>209</v>
      </c>
      <c r="E155" s="4">
        <v>2</v>
      </c>
      <c r="F155" s="9" t="s">
        <v>262</v>
      </c>
      <c r="G155" s="4">
        <v>37</v>
      </c>
      <c r="H155" s="4" t="s">
        <v>12</v>
      </c>
      <c r="I155" s="4" t="s">
        <v>299</v>
      </c>
      <c r="J155" s="8" t="s">
        <v>13</v>
      </c>
      <c r="K155" s="9" t="s">
        <v>207</v>
      </c>
    </row>
    <row r="156" spans="1:11">
      <c r="A156" s="4">
        <v>19</v>
      </c>
      <c r="B156" s="4" t="s">
        <v>171</v>
      </c>
      <c r="C156" s="42">
        <v>47320</v>
      </c>
      <c r="D156" s="4" t="s">
        <v>209</v>
      </c>
      <c r="E156" s="4">
        <v>2</v>
      </c>
      <c r="F156" s="9" t="s">
        <v>254</v>
      </c>
      <c r="G156" s="4">
        <v>20</v>
      </c>
      <c r="H156" s="4" t="s">
        <v>12</v>
      </c>
      <c r="I156" s="4" t="s">
        <v>300</v>
      </c>
      <c r="J156" s="8" t="s">
        <v>13</v>
      </c>
      <c r="K156" s="55" t="s">
        <v>301</v>
      </c>
    </row>
    <row r="157" spans="1:11">
      <c r="A157" s="4">
        <v>20</v>
      </c>
      <c r="B157" s="4" t="s">
        <v>176</v>
      </c>
      <c r="C157" s="42">
        <v>42907</v>
      </c>
      <c r="D157" s="4" t="s">
        <v>202</v>
      </c>
      <c r="E157" s="4"/>
      <c r="G157" s="4">
        <v>37</v>
      </c>
      <c r="H157" s="4" t="s">
        <v>12</v>
      </c>
      <c r="I157" s="7">
        <v>1626</v>
      </c>
      <c r="J157" s="8" t="s">
        <v>13</v>
      </c>
      <c r="K157" s="9" t="s">
        <v>241</v>
      </c>
    </row>
    <row r="158" spans="1:11">
      <c r="A158" s="4">
        <v>20</v>
      </c>
      <c r="B158" s="4" t="s">
        <v>176</v>
      </c>
      <c r="C158" s="42">
        <v>42907</v>
      </c>
      <c r="D158" s="4" t="s">
        <v>209</v>
      </c>
      <c r="E158" s="4">
        <v>2</v>
      </c>
      <c r="F158" s="9" t="s">
        <v>204</v>
      </c>
      <c r="G158" s="4">
        <v>37</v>
      </c>
      <c r="H158" s="4" t="s">
        <v>12</v>
      </c>
      <c r="I158" s="7">
        <v>1624</v>
      </c>
      <c r="J158" s="8" t="s">
        <v>13</v>
      </c>
    </row>
    <row r="159" spans="1:11">
      <c r="A159" s="4">
        <v>20</v>
      </c>
      <c r="B159" s="4" t="s">
        <v>176</v>
      </c>
      <c r="C159" s="42">
        <v>43272</v>
      </c>
      <c r="D159" s="4" t="s">
        <v>209</v>
      </c>
      <c r="E159" s="4">
        <v>2</v>
      </c>
      <c r="F159" s="9" t="s">
        <v>204</v>
      </c>
      <c r="G159" s="44">
        <v>20</v>
      </c>
      <c r="H159" s="4" t="s">
        <v>12</v>
      </c>
      <c r="I159" s="4" t="s">
        <v>302</v>
      </c>
      <c r="J159" s="8" t="s">
        <v>13</v>
      </c>
    </row>
    <row r="160" spans="1:11">
      <c r="A160" s="4">
        <v>20</v>
      </c>
      <c r="B160" s="4" t="s">
        <v>176</v>
      </c>
      <c r="C160" s="42">
        <v>43272</v>
      </c>
      <c r="D160" s="4" t="s">
        <v>209</v>
      </c>
      <c r="E160" s="4">
        <v>2</v>
      </c>
      <c r="F160" s="9" t="s">
        <v>204</v>
      </c>
      <c r="G160" s="44">
        <v>22</v>
      </c>
      <c r="H160" s="4" t="s">
        <v>220</v>
      </c>
      <c r="I160" s="4" t="s">
        <v>303</v>
      </c>
      <c r="J160" s="8" t="s">
        <v>13</v>
      </c>
    </row>
    <row r="161" spans="1:11">
      <c r="A161" s="4">
        <v>20</v>
      </c>
      <c r="B161" s="4" t="s">
        <v>176</v>
      </c>
      <c r="C161" s="42">
        <v>43272</v>
      </c>
      <c r="D161" s="4" t="s">
        <v>209</v>
      </c>
      <c r="E161" s="4">
        <v>2</v>
      </c>
      <c r="F161" s="9" t="s">
        <v>204</v>
      </c>
      <c r="G161" s="44">
        <v>24</v>
      </c>
      <c r="H161" s="4" t="s">
        <v>220</v>
      </c>
      <c r="I161" s="7" t="s">
        <v>304</v>
      </c>
      <c r="J161" s="8" t="s">
        <v>13</v>
      </c>
    </row>
    <row r="162" spans="1:11">
      <c r="A162" s="4">
        <v>20</v>
      </c>
      <c r="B162" s="4" t="s">
        <v>176</v>
      </c>
      <c r="C162" s="42">
        <v>43272</v>
      </c>
      <c r="D162" s="4" t="s">
        <v>209</v>
      </c>
      <c r="E162" s="4">
        <v>2</v>
      </c>
      <c r="F162" s="9" t="s">
        <v>204</v>
      </c>
      <c r="G162" s="44">
        <v>26</v>
      </c>
      <c r="H162" s="4" t="s">
        <v>220</v>
      </c>
      <c r="I162" s="7" t="s">
        <v>304</v>
      </c>
      <c r="J162" s="8" t="s">
        <v>13</v>
      </c>
    </row>
    <row r="163" spans="1:11">
      <c r="A163" s="4">
        <v>20</v>
      </c>
      <c r="B163" s="4" t="s">
        <v>176</v>
      </c>
      <c r="C163" s="42">
        <v>43272</v>
      </c>
      <c r="D163" s="4" t="s">
        <v>209</v>
      </c>
      <c r="E163" s="4">
        <v>2</v>
      </c>
      <c r="F163" s="9" t="s">
        <v>204</v>
      </c>
      <c r="G163" s="44">
        <v>28</v>
      </c>
      <c r="H163" s="4" t="s">
        <v>220</v>
      </c>
      <c r="I163" s="7" t="s">
        <v>304</v>
      </c>
      <c r="J163" s="8" t="s">
        <v>13</v>
      </c>
    </row>
    <row r="164" spans="1:11">
      <c r="A164" s="4">
        <v>20</v>
      </c>
      <c r="B164" s="4" t="s">
        <v>176</v>
      </c>
      <c r="C164" s="42">
        <v>43272</v>
      </c>
      <c r="D164" s="4" t="s">
        <v>209</v>
      </c>
      <c r="E164" s="4">
        <v>2</v>
      </c>
      <c r="F164" s="9" t="s">
        <v>204</v>
      </c>
      <c r="G164" s="44">
        <v>30</v>
      </c>
      <c r="H164" s="4" t="s">
        <v>220</v>
      </c>
      <c r="I164" s="7" t="s">
        <v>304</v>
      </c>
      <c r="J164" s="8" t="s">
        <v>13</v>
      </c>
    </row>
    <row r="165" spans="1:11">
      <c r="A165" s="4">
        <v>20</v>
      </c>
      <c r="B165" s="4" t="s">
        <v>176</v>
      </c>
      <c r="C165" s="42">
        <v>43272</v>
      </c>
      <c r="D165" s="4" t="s">
        <v>209</v>
      </c>
      <c r="E165" s="4">
        <v>2</v>
      </c>
      <c r="F165" s="9" t="s">
        <v>204</v>
      </c>
      <c r="G165" s="44">
        <v>32</v>
      </c>
      <c r="H165" s="4" t="s">
        <v>220</v>
      </c>
      <c r="I165" s="7" t="s">
        <v>304</v>
      </c>
      <c r="J165" s="8" t="s">
        <v>13</v>
      </c>
    </row>
    <row r="166" spans="1:11">
      <c r="A166" s="4">
        <v>20</v>
      </c>
      <c r="B166" s="4" t="s">
        <v>176</v>
      </c>
      <c r="C166" s="42">
        <v>43272</v>
      </c>
      <c r="D166" s="4" t="s">
        <v>209</v>
      </c>
      <c r="E166" s="4">
        <v>2</v>
      </c>
      <c r="F166" s="9" t="s">
        <v>204</v>
      </c>
      <c r="G166" s="44">
        <v>34</v>
      </c>
      <c r="H166" s="4" t="s">
        <v>220</v>
      </c>
      <c r="I166" s="7" t="s">
        <v>304</v>
      </c>
      <c r="J166" s="8" t="s">
        <v>13</v>
      </c>
    </row>
    <row r="167" spans="1:11">
      <c r="A167" s="4">
        <v>20</v>
      </c>
      <c r="B167" s="4" t="s">
        <v>176</v>
      </c>
      <c r="C167" s="42">
        <v>43272</v>
      </c>
      <c r="D167" s="4" t="s">
        <v>209</v>
      </c>
      <c r="E167" s="4">
        <v>2</v>
      </c>
      <c r="F167" s="9" t="s">
        <v>204</v>
      </c>
      <c r="G167" s="44">
        <v>36</v>
      </c>
      <c r="H167" s="4" t="s">
        <v>220</v>
      </c>
      <c r="I167" s="7" t="s">
        <v>305</v>
      </c>
      <c r="J167" s="8" t="s">
        <v>13</v>
      </c>
    </row>
    <row r="168" spans="1:11">
      <c r="A168" s="4">
        <v>20</v>
      </c>
      <c r="B168" s="4" t="s">
        <v>176</v>
      </c>
      <c r="C168" s="42">
        <v>43272</v>
      </c>
      <c r="D168" s="4" t="s">
        <v>209</v>
      </c>
      <c r="E168" s="4">
        <v>2</v>
      </c>
      <c r="F168" s="9" t="s">
        <v>204</v>
      </c>
      <c r="G168" s="44">
        <v>38</v>
      </c>
      <c r="H168" s="4" t="s">
        <v>220</v>
      </c>
      <c r="I168" s="4" t="s">
        <v>306</v>
      </c>
      <c r="J168" s="8" t="s">
        <v>13</v>
      </c>
    </row>
    <row r="169" spans="1:11">
      <c r="A169" s="4">
        <v>20</v>
      </c>
      <c r="B169" s="4" t="s">
        <v>176</v>
      </c>
      <c r="C169" s="42">
        <v>43272</v>
      </c>
      <c r="D169" s="4" t="s">
        <v>209</v>
      </c>
      <c r="E169" s="4">
        <v>2</v>
      </c>
      <c r="F169" s="9" t="s">
        <v>204</v>
      </c>
      <c r="G169" s="44">
        <v>40</v>
      </c>
      <c r="H169" s="4" t="s">
        <v>220</v>
      </c>
      <c r="I169" s="4" t="s">
        <v>306</v>
      </c>
      <c r="J169" s="8" t="s">
        <v>13</v>
      </c>
    </row>
    <row r="170" spans="1:11">
      <c r="A170" s="4">
        <v>20</v>
      </c>
      <c r="B170" s="4" t="s">
        <v>176</v>
      </c>
      <c r="C170" s="42">
        <v>43272</v>
      </c>
      <c r="D170" s="4" t="s">
        <v>209</v>
      </c>
      <c r="E170" s="4">
        <v>2</v>
      </c>
      <c r="F170" s="9" t="s">
        <v>227</v>
      </c>
      <c r="G170" s="4">
        <v>37</v>
      </c>
      <c r="H170" s="4" t="s">
        <v>12</v>
      </c>
      <c r="I170" s="7">
        <v>1623</v>
      </c>
      <c r="J170" s="8" t="s">
        <v>13</v>
      </c>
      <c r="K170" s="9" t="s">
        <v>207</v>
      </c>
    </row>
    <row r="171" spans="1:11">
      <c r="A171" s="4">
        <v>20</v>
      </c>
      <c r="B171" s="4" t="s">
        <v>176</v>
      </c>
      <c r="C171" s="42">
        <v>45829</v>
      </c>
      <c r="D171" s="4" t="s">
        <v>209</v>
      </c>
      <c r="E171" s="4">
        <v>2</v>
      </c>
      <c r="F171" s="9" t="s">
        <v>296</v>
      </c>
      <c r="G171" s="4">
        <v>37</v>
      </c>
      <c r="H171" s="4" t="s">
        <v>12</v>
      </c>
      <c r="I171" s="7" t="s">
        <v>307</v>
      </c>
      <c r="J171" s="8" t="s">
        <v>13</v>
      </c>
      <c r="K171" s="9" t="s">
        <v>207</v>
      </c>
    </row>
    <row r="172" spans="1:11">
      <c r="A172" s="4">
        <v>20</v>
      </c>
      <c r="B172" s="4" t="s">
        <v>176</v>
      </c>
      <c r="C172" s="42">
        <v>41841</v>
      </c>
      <c r="D172" s="4" t="s">
        <v>18</v>
      </c>
      <c r="E172" s="6" t="s">
        <v>11</v>
      </c>
      <c r="F172" s="9" t="s">
        <v>19</v>
      </c>
      <c r="G172" s="4">
        <v>37</v>
      </c>
      <c r="H172" s="4" t="s">
        <v>20</v>
      </c>
      <c r="I172" s="4">
        <v>1679</v>
      </c>
      <c r="J172" s="8"/>
      <c r="K172" s="10" t="s">
        <v>21</v>
      </c>
    </row>
    <row r="173" spans="1:11">
      <c r="A173" s="4">
        <v>20</v>
      </c>
      <c r="B173" s="5" t="s">
        <v>26</v>
      </c>
      <c r="C173" s="42">
        <v>41841</v>
      </c>
      <c r="D173" s="4" t="s">
        <v>18</v>
      </c>
      <c r="E173" s="6" t="s">
        <v>11</v>
      </c>
      <c r="F173" s="9" t="s">
        <v>19</v>
      </c>
      <c r="G173" s="4">
        <v>37</v>
      </c>
      <c r="H173" s="4" t="s">
        <v>20</v>
      </c>
      <c r="I173" s="4">
        <v>1653</v>
      </c>
      <c r="J173" s="8"/>
      <c r="K173" s="10" t="s">
        <v>21</v>
      </c>
    </row>
    <row r="174" spans="1:11">
      <c r="A174" s="4">
        <v>20</v>
      </c>
      <c r="B174" s="4" t="s">
        <v>176</v>
      </c>
      <c r="C174" s="42">
        <v>46955</v>
      </c>
      <c r="D174" s="4" t="s">
        <v>209</v>
      </c>
      <c r="E174" s="4">
        <v>2</v>
      </c>
      <c r="F174" s="9" t="s">
        <v>262</v>
      </c>
      <c r="G174" s="4">
        <v>37</v>
      </c>
      <c r="H174" s="4" t="s">
        <v>12</v>
      </c>
      <c r="I174" s="7">
        <v>1623</v>
      </c>
      <c r="J174" s="8" t="s">
        <v>13</v>
      </c>
      <c r="K174" s="9" t="s">
        <v>207</v>
      </c>
    </row>
    <row r="175" spans="1:11">
      <c r="A175" s="4">
        <v>20</v>
      </c>
      <c r="B175" s="4" t="s">
        <v>176</v>
      </c>
      <c r="C175" s="42">
        <v>47320</v>
      </c>
      <c r="D175" s="4" t="s">
        <v>209</v>
      </c>
      <c r="E175" s="4">
        <v>2</v>
      </c>
      <c r="F175" s="9" t="s">
        <v>262</v>
      </c>
      <c r="G175" s="4">
        <v>20</v>
      </c>
      <c r="H175" s="4" t="s">
        <v>12</v>
      </c>
      <c r="I175" s="7" t="s">
        <v>308</v>
      </c>
      <c r="J175" s="8" t="s">
        <v>13</v>
      </c>
      <c r="K175" s="56" t="s">
        <v>301</v>
      </c>
    </row>
    <row r="176" spans="1:11">
      <c r="A176" s="4">
        <v>20</v>
      </c>
      <c r="B176" s="4" t="s">
        <v>176</v>
      </c>
      <c r="C176" s="42">
        <v>11160</v>
      </c>
      <c r="D176" s="4" t="s">
        <v>18</v>
      </c>
      <c r="E176" s="6" t="s">
        <v>11</v>
      </c>
      <c r="F176" s="9" t="s">
        <v>22</v>
      </c>
      <c r="G176" s="4">
        <v>37</v>
      </c>
      <c r="H176" s="4" t="s">
        <v>20</v>
      </c>
      <c r="I176" s="4">
        <v>1679</v>
      </c>
      <c r="J176" s="8"/>
      <c r="K176" s="10" t="s">
        <v>21</v>
      </c>
    </row>
    <row r="177" spans="1:11">
      <c r="A177" s="4">
        <v>20</v>
      </c>
      <c r="B177" s="5" t="s">
        <v>26</v>
      </c>
      <c r="C177" s="42">
        <v>11160</v>
      </c>
      <c r="D177" s="4" t="s">
        <v>18</v>
      </c>
      <c r="E177" s="6" t="s">
        <v>11</v>
      </c>
      <c r="F177" s="9" t="s">
        <v>22</v>
      </c>
      <c r="G177" s="4">
        <v>37</v>
      </c>
      <c r="H177" s="4" t="s">
        <v>20</v>
      </c>
      <c r="I177" s="4">
        <v>1674</v>
      </c>
      <c r="J177" s="8"/>
      <c r="K177" s="10" t="s">
        <v>21</v>
      </c>
    </row>
    <row r="178" spans="1:11">
      <c r="A178" s="4">
        <v>20</v>
      </c>
      <c r="B178" s="4" t="s">
        <v>176</v>
      </c>
      <c r="C178" s="42">
        <v>43698</v>
      </c>
      <c r="D178" s="4" t="s">
        <v>18</v>
      </c>
      <c r="E178" s="6" t="s">
        <v>11</v>
      </c>
      <c r="F178" s="9" t="s">
        <v>23</v>
      </c>
      <c r="G178" s="4">
        <v>37</v>
      </c>
      <c r="H178" s="4" t="s">
        <v>20</v>
      </c>
      <c r="I178" s="4">
        <v>1678</v>
      </c>
      <c r="J178" s="8"/>
      <c r="K178" s="10" t="s">
        <v>21</v>
      </c>
    </row>
    <row r="179" spans="1:11">
      <c r="A179" s="4">
        <v>20</v>
      </c>
      <c r="B179" s="5" t="s">
        <v>26</v>
      </c>
      <c r="C179" s="42">
        <v>43698</v>
      </c>
      <c r="D179" s="4" t="s">
        <v>18</v>
      </c>
      <c r="E179" s="6" t="s">
        <v>11</v>
      </c>
      <c r="F179" s="9" t="s">
        <v>23</v>
      </c>
      <c r="G179" s="4">
        <v>37</v>
      </c>
      <c r="H179" s="4" t="s">
        <v>20</v>
      </c>
      <c r="I179" s="4">
        <v>1671</v>
      </c>
      <c r="J179" s="8"/>
      <c r="K179" s="10" t="s">
        <v>21</v>
      </c>
    </row>
    <row r="180" spans="1:11">
      <c r="A180" s="4">
        <v>21</v>
      </c>
      <c r="B180" s="4" t="s">
        <v>186</v>
      </c>
      <c r="C180" s="42">
        <v>42907</v>
      </c>
      <c r="D180" s="4" t="s">
        <v>202</v>
      </c>
      <c r="E180" s="4"/>
      <c r="G180" s="4">
        <v>37</v>
      </c>
      <c r="H180" s="4" t="s">
        <v>12</v>
      </c>
      <c r="I180" s="7">
        <v>1624</v>
      </c>
      <c r="J180" s="8" t="s">
        <v>13</v>
      </c>
    </row>
    <row r="181" spans="1:11">
      <c r="A181" s="4">
        <v>21</v>
      </c>
      <c r="B181" s="4" t="s">
        <v>186</v>
      </c>
      <c r="C181" s="42">
        <v>42907</v>
      </c>
      <c r="D181" s="4" t="s">
        <v>209</v>
      </c>
      <c r="E181" s="4">
        <v>2</v>
      </c>
      <c r="F181" s="9" t="s">
        <v>204</v>
      </c>
      <c r="G181" s="4">
        <v>37</v>
      </c>
      <c r="H181" s="4" t="s">
        <v>12</v>
      </c>
      <c r="I181" s="7">
        <v>1626</v>
      </c>
      <c r="J181" s="8" t="s">
        <v>13</v>
      </c>
    </row>
    <row r="182" spans="1:11">
      <c r="A182" s="4">
        <v>21</v>
      </c>
      <c r="B182" s="4" t="s">
        <v>186</v>
      </c>
      <c r="C182" s="42">
        <v>43272</v>
      </c>
      <c r="D182" s="4" t="s">
        <v>209</v>
      </c>
      <c r="E182" s="4">
        <v>2</v>
      </c>
      <c r="F182" s="9" t="s">
        <v>227</v>
      </c>
      <c r="G182" s="4">
        <v>37</v>
      </c>
      <c r="H182" s="4" t="s">
        <v>12</v>
      </c>
      <c r="I182" s="7">
        <v>1626</v>
      </c>
      <c r="J182" s="8" t="s">
        <v>13</v>
      </c>
      <c r="K182" s="9" t="s">
        <v>207</v>
      </c>
    </row>
    <row r="183" spans="1:11">
      <c r="A183" s="4">
        <v>21</v>
      </c>
      <c r="B183" s="4" t="s">
        <v>186</v>
      </c>
      <c r="C183" s="42">
        <v>45464</v>
      </c>
      <c r="D183" s="4" t="s">
        <v>209</v>
      </c>
      <c r="E183" s="4">
        <v>2</v>
      </c>
      <c r="F183" s="9" t="s">
        <v>204</v>
      </c>
      <c r="G183" s="44">
        <v>20</v>
      </c>
      <c r="H183" s="4" t="s">
        <v>12</v>
      </c>
      <c r="I183" s="7">
        <v>1629</v>
      </c>
      <c r="J183" s="8" t="s">
        <v>13</v>
      </c>
    </row>
    <row r="184" spans="1:11">
      <c r="A184" s="4">
        <v>21</v>
      </c>
      <c r="B184" s="4" t="s">
        <v>186</v>
      </c>
      <c r="C184" s="42">
        <v>45464</v>
      </c>
      <c r="D184" s="4" t="s">
        <v>209</v>
      </c>
      <c r="E184" s="4">
        <v>2</v>
      </c>
      <c r="F184" s="9" t="s">
        <v>204</v>
      </c>
      <c r="G184" s="44">
        <v>22</v>
      </c>
      <c r="H184" s="4" t="s">
        <v>12</v>
      </c>
      <c r="I184" s="7">
        <v>1629</v>
      </c>
      <c r="J184" s="8" t="s">
        <v>13</v>
      </c>
    </row>
    <row r="185" spans="1:11">
      <c r="A185" s="4">
        <v>21</v>
      </c>
      <c r="B185" s="4" t="s">
        <v>186</v>
      </c>
      <c r="C185" s="42">
        <v>45464</v>
      </c>
      <c r="D185" s="4" t="s">
        <v>209</v>
      </c>
      <c r="E185" s="4">
        <v>2</v>
      </c>
      <c r="F185" s="9" t="s">
        <v>204</v>
      </c>
      <c r="G185" s="44">
        <v>24</v>
      </c>
      <c r="H185" s="4" t="s">
        <v>12</v>
      </c>
      <c r="I185" s="7">
        <v>1629</v>
      </c>
      <c r="J185" s="8" t="s">
        <v>13</v>
      </c>
    </row>
    <row r="186" spans="1:11">
      <c r="A186" s="4">
        <v>21</v>
      </c>
      <c r="B186" s="4" t="s">
        <v>186</v>
      </c>
      <c r="C186" s="42">
        <v>45464</v>
      </c>
      <c r="D186" s="4" t="s">
        <v>209</v>
      </c>
      <c r="E186" s="4">
        <v>2</v>
      </c>
      <c r="F186" s="9" t="s">
        <v>204</v>
      </c>
      <c r="G186" s="44">
        <v>26</v>
      </c>
      <c r="H186" s="4" t="s">
        <v>12</v>
      </c>
      <c r="I186" s="7">
        <v>1629</v>
      </c>
      <c r="J186" s="8" t="s">
        <v>13</v>
      </c>
    </row>
    <row r="187" spans="1:11">
      <c r="A187" s="4">
        <v>21</v>
      </c>
      <c r="B187" s="4" t="s">
        <v>186</v>
      </c>
      <c r="C187" s="42">
        <v>45464</v>
      </c>
      <c r="D187" s="4" t="s">
        <v>209</v>
      </c>
      <c r="E187" s="4">
        <v>2</v>
      </c>
      <c r="F187" s="9" t="s">
        <v>204</v>
      </c>
      <c r="G187" s="44">
        <v>28</v>
      </c>
      <c r="H187" s="4" t="s">
        <v>12</v>
      </c>
      <c r="I187" s="7">
        <v>1629</v>
      </c>
      <c r="J187" s="8" t="s">
        <v>13</v>
      </c>
    </row>
    <row r="188" spans="1:11">
      <c r="A188" s="4">
        <v>21</v>
      </c>
      <c r="B188" s="4" t="s">
        <v>186</v>
      </c>
      <c r="C188" s="42">
        <v>45464</v>
      </c>
      <c r="D188" s="4" t="s">
        <v>209</v>
      </c>
      <c r="E188" s="4">
        <v>2</v>
      </c>
      <c r="F188" s="9" t="s">
        <v>204</v>
      </c>
      <c r="G188" s="44">
        <v>30</v>
      </c>
      <c r="H188" s="4" t="s">
        <v>12</v>
      </c>
      <c r="I188" s="7">
        <v>1629</v>
      </c>
      <c r="J188" s="8" t="s">
        <v>13</v>
      </c>
    </row>
    <row r="189" spans="1:11">
      <c r="A189" s="4">
        <v>21</v>
      </c>
      <c r="B189" s="4" t="s">
        <v>186</v>
      </c>
      <c r="C189" s="42">
        <v>45464</v>
      </c>
      <c r="D189" s="4" t="s">
        <v>209</v>
      </c>
      <c r="E189" s="4">
        <v>2</v>
      </c>
      <c r="F189" s="9" t="s">
        <v>204</v>
      </c>
      <c r="G189" s="44">
        <v>32</v>
      </c>
      <c r="H189" s="4" t="s">
        <v>12</v>
      </c>
      <c r="I189" s="7">
        <v>1629</v>
      </c>
      <c r="J189" s="8" t="s">
        <v>13</v>
      </c>
    </row>
    <row r="190" spans="1:11">
      <c r="A190" s="4">
        <v>21</v>
      </c>
      <c r="B190" s="4" t="s">
        <v>186</v>
      </c>
      <c r="C190" s="42">
        <v>45464</v>
      </c>
      <c r="D190" s="4" t="s">
        <v>209</v>
      </c>
      <c r="E190" s="4">
        <v>2</v>
      </c>
      <c r="F190" s="9" t="s">
        <v>204</v>
      </c>
      <c r="G190" s="44">
        <v>34</v>
      </c>
      <c r="H190" s="4" t="s">
        <v>12</v>
      </c>
      <c r="I190" s="7">
        <v>1629</v>
      </c>
      <c r="J190" s="8" t="s">
        <v>13</v>
      </c>
    </row>
    <row r="191" spans="1:11">
      <c r="A191" s="4">
        <v>21</v>
      </c>
      <c r="B191" s="4" t="s">
        <v>186</v>
      </c>
      <c r="C191" s="42">
        <v>45464</v>
      </c>
      <c r="D191" s="4" t="s">
        <v>209</v>
      </c>
      <c r="E191" s="4">
        <v>2</v>
      </c>
      <c r="F191" s="9" t="s">
        <v>204</v>
      </c>
      <c r="G191" s="44">
        <v>36</v>
      </c>
      <c r="H191" s="4" t="s">
        <v>12</v>
      </c>
      <c r="I191" s="7">
        <v>1629</v>
      </c>
      <c r="J191" s="8" t="s">
        <v>13</v>
      </c>
    </row>
    <row r="192" spans="1:11">
      <c r="A192" s="4">
        <v>21</v>
      </c>
      <c r="B192" s="4" t="s">
        <v>186</v>
      </c>
      <c r="C192" s="42">
        <v>45464</v>
      </c>
      <c r="D192" s="4" t="s">
        <v>209</v>
      </c>
      <c r="E192" s="4">
        <v>2</v>
      </c>
      <c r="F192" s="9" t="s">
        <v>204</v>
      </c>
      <c r="G192" s="44">
        <v>38</v>
      </c>
      <c r="H192" s="4" t="s">
        <v>12</v>
      </c>
      <c r="I192" s="7">
        <v>1629</v>
      </c>
      <c r="J192" s="8" t="s">
        <v>13</v>
      </c>
    </row>
    <row r="193" spans="1:11">
      <c r="A193" s="4">
        <v>21</v>
      </c>
      <c r="B193" s="4" t="s">
        <v>186</v>
      </c>
      <c r="C193" s="42">
        <v>45464</v>
      </c>
      <c r="D193" s="4" t="s">
        <v>209</v>
      </c>
      <c r="E193" s="4">
        <v>2</v>
      </c>
      <c r="F193" s="9" t="s">
        <v>204</v>
      </c>
      <c r="G193" s="44">
        <v>40</v>
      </c>
      <c r="H193" s="4" t="s">
        <v>12</v>
      </c>
      <c r="I193" s="7">
        <v>1629</v>
      </c>
      <c r="J193" s="8" t="s">
        <v>13</v>
      </c>
    </row>
    <row r="194" spans="1:11">
      <c r="A194" s="4">
        <v>21</v>
      </c>
      <c r="B194" s="4" t="s">
        <v>186</v>
      </c>
      <c r="C194" s="42">
        <v>45829</v>
      </c>
      <c r="D194" s="4" t="s">
        <v>209</v>
      </c>
      <c r="E194" s="4">
        <v>2</v>
      </c>
      <c r="F194" s="9" t="s">
        <v>296</v>
      </c>
      <c r="G194" s="4">
        <v>37</v>
      </c>
      <c r="H194" s="4" t="s">
        <v>12</v>
      </c>
      <c r="I194" s="7" t="s">
        <v>309</v>
      </c>
      <c r="J194" s="8" t="s">
        <v>13</v>
      </c>
      <c r="K194" s="9" t="s">
        <v>207</v>
      </c>
    </row>
    <row r="195" spans="1:11">
      <c r="A195" s="4">
        <v>21</v>
      </c>
      <c r="B195" s="4" t="s">
        <v>186</v>
      </c>
      <c r="C195" s="42">
        <v>37458</v>
      </c>
      <c r="D195" s="4" t="s">
        <v>18</v>
      </c>
      <c r="E195" s="6" t="s">
        <v>11</v>
      </c>
      <c r="F195" s="9" t="s">
        <v>310</v>
      </c>
      <c r="G195" s="4">
        <v>37</v>
      </c>
      <c r="H195" s="4" t="s">
        <v>20</v>
      </c>
      <c r="I195" s="4">
        <v>1680</v>
      </c>
      <c r="J195" s="8"/>
      <c r="K195" s="10"/>
    </row>
    <row r="196" spans="1:11">
      <c r="A196" s="4">
        <v>21</v>
      </c>
      <c r="B196" s="4" t="s">
        <v>186</v>
      </c>
      <c r="C196" s="42">
        <v>38554</v>
      </c>
      <c r="D196" s="4" t="s">
        <v>18</v>
      </c>
      <c r="E196" s="6" t="s">
        <v>11</v>
      </c>
      <c r="F196" s="9" t="s">
        <v>216</v>
      </c>
      <c r="G196" s="4">
        <v>37</v>
      </c>
      <c r="H196" s="4" t="s">
        <v>20</v>
      </c>
      <c r="I196" s="4">
        <v>1680</v>
      </c>
      <c r="J196" s="8"/>
      <c r="K196" s="10" t="s">
        <v>21</v>
      </c>
    </row>
    <row r="197" spans="1:11">
      <c r="A197" s="4">
        <v>21</v>
      </c>
      <c r="B197" s="4" t="s">
        <v>186</v>
      </c>
      <c r="C197" s="42">
        <v>41841</v>
      </c>
      <c r="D197" s="4" t="s">
        <v>18</v>
      </c>
      <c r="E197" s="6" t="s">
        <v>11</v>
      </c>
      <c r="F197" s="9" t="s">
        <v>19</v>
      </c>
      <c r="G197" s="4">
        <v>37</v>
      </c>
      <c r="H197" s="4" t="s">
        <v>20</v>
      </c>
      <c r="I197" s="4">
        <v>1679</v>
      </c>
      <c r="J197" s="8"/>
      <c r="K197" s="10" t="s">
        <v>21</v>
      </c>
    </row>
    <row r="198" spans="1:11">
      <c r="A198" s="4">
        <v>21</v>
      </c>
      <c r="B198" s="4" t="s">
        <v>186</v>
      </c>
      <c r="C198" s="42">
        <v>46955</v>
      </c>
      <c r="D198" s="4" t="s">
        <v>209</v>
      </c>
      <c r="E198" s="4">
        <v>2</v>
      </c>
      <c r="F198" s="9" t="s">
        <v>262</v>
      </c>
      <c r="G198" s="4">
        <v>37</v>
      </c>
      <c r="H198" s="4" t="s">
        <v>12</v>
      </c>
      <c r="I198" s="7">
        <v>1625</v>
      </c>
      <c r="J198" s="8" t="s">
        <v>13</v>
      </c>
      <c r="K198" s="9" t="s">
        <v>207</v>
      </c>
    </row>
    <row r="199" spans="1:11">
      <c r="A199" s="4">
        <v>21</v>
      </c>
      <c r="B199" s="4" t="s">
        <v>186</v>
      </c>
      <c r="C199" s="42">
        <v>47320</v>
      </c>
      <c r="D199" s="4" t="s">
        <v>209</v>
      </c>
      <c r="E199" s="4">
        <v>2</v>
      </c>
      <c r="F199" s="9" t="s">
        <v>262</v>
      </c>
      <c r="G199" s="4">
        <v>20</v>
      </c>
      <c r="H199" s="4" t="s">
        <v>12</v>
      </c>
      <c r="I199" s="7">
        <v>1626</v>
      </c>
      <c r="J199" s="8" t="s">
        <v>13</v>
      </c>
      <c r="K199" s="56" t="s">
        <v>301</v>
      </c>
    </row>
    <row r="200" spans="1:11">
      <c r="A200" s="4">
        <v>21</v>
      </c>
      <c r="B200" s="4" t="s">
        <v>186</v>
      </c>
      <c r="C200" s="42">
        <v>11160</v>
      </c>
      <c r="D200" s="4" t="s">
        <v>18</v>
      </c>
      <c r="E200" s="6" t="s">
        <v>11</v>
      </c>
      <c r="F200" s="9" t="s">
        <v>22</v>
      </c>
      <c r="G200" s="4">
        <v>37</v>
      </c>
      <c r="H200" s="4" t="s">
        <v>20</v>
      </c>
      <c r="I200" s="4">
        <v>1681</v>
      </c>
      <c r="J200" s="8"/>
      <c r="K200" s="10" t="s">
        <v>21</v>
      </c>
    </row>
    <row r="201" spans="1:11">
      <c r="A201" s="4">
        <v>21</v>
      </c>
      <c r="B201" s="4" t="s">
        <v>186</v>
      </c>
      <c r="C201" s="42">
        <v>43698</v>
      </c>
      <c r="D201" s="4" t="s">
        <v>18</v>
      </c>
      <c r="E201" s="6" t="s">
        <v>11</v>
      </c>
      <c r="F201" s="9" t="s">
        <v>23</v>
      </c>
      <c r="G201" s="4">
        <v>37</v>
      </c>
      <c r="H201" s="4" t="s">
        <v>20</v>
      </c>
      <c r="I201" s="4">
        <v>1681</v>
      </c>
      <c r="J201" s="8"/>
      <c r="K201" s="10" t="s">
        <v>21</v>
      </c>
    </row>
    <row r="202" spans="1:11">
      <c r="A202" s="4">
        <v>22</v>
      </c>
      <c r="B202" s="4" t="s">
        <v>191</v>
      </c>
      <c r="C202" s="42">
        <v>42907</v>
      </c>
      <c r="D202" s="4" t="s">
        <v>202</v>
      </c>
      <c r="E202" s="4"/>
      <c r="G202" s="4">
        <v>37</v>
      </c>
      <c r="H202" s="4" t="s">
        <v>12</v>
      </c>
      <c r="I202" s="4" t="s">
        <v>311</v>
      </c>
      <c r="J202" s="8" t="s">
        <v>13</v>
      </c>
    </row>
    <row r="203" spans="1:11">
      <c r="A203" s="4">
        <v>22</v>
      </c>
      <c r="B203" s="4" t="s">
        <v>191</v>
      </c>
      <c r="C203" s="42">
        <v>42907</v>
      </c>
      <c r="D203" s="4" t="s">
        <v>209</v>
      </c>
      <c r="E203" s="4">
        <v>2</v>
      </c>
      <c r="F203" s="9" t="s">
        <v>204</v>
      </c>
      <c r="G203" s="4">
        <v>37</v>
      </c>
      <c r="H203" s="4" t="s">
        <v>12</v>
      </c>
      <c r="I203" s="4" t="s">
        <v>312</v>
      </c>
      <c r="J203" s="8" t="s">
        <v>13</v>
      </c>
    </row>
    <row r="204" spans="1:11">
      <c r="A204" s="4">
        <v>22</v>
      </c>
      <c r="B204" s="4" t="s">
        <v>191</v>
      </c>
      <c r="C204" s="42">
        <v>43272</v>
      </c>
      <c r="D204" s="4" t="s">
        <v>209</v>
      </c>
      <c r="E204" s="4">
        <v>2</v>
      </c>
      <c r="F204" s="9" t="s">
        <v>227</v>
      </c>
      <c r="G204" s="4">
        <v>37</v>
      </c>
      <c r="H204" s="4" t="s">
        <v>12</v>
      </c>
      <c r="I204" s="7">
        <v>1633</v>
      </c>
      <c r="J204" s="8" t="s">
        <v>13</v>
      </c>
      <c r="K204" s="9" t="s">
        <v>207</v>
      </c>
    </row>
    <row r="205" spans="1:11">
      <c r="A205" s="4">
        <v>22</v>
      </c>
      <c r="B205" s="4" t="s">
        <v>191</v>
      </c>
      <c r="C205" s="42">
        <v>45829</v>
      </c>
      <c r="D205" s="4" t="s">
        <v>209</v>
      </c>
      <c r="E205" s="4">
        <v>2</v>
      </c>
      <c r="F205" s="9" t="s">
        <v>296</v>
      </c>
      <c r="G205" s="4">
        <v>37</v>
      </c>
      <c r="H205" s="4" t="s">
        <v>12</v>
      </c>
      <c r="I205" s="7" t="s">
        <v>313</v>
      </c>
      <c r="J205" s="8" t="s">
        <v>13</v>
      </c>
      <c r="K205" s="9" t="s">
        <v>207</v>
      </c>
    </row>
    <row r="206" spans="1:11">
      <c r="A206" s="4">
        <v>22</v>
      </c>
      <c r="B206" s="4" t="s">
        <v>191</v>
      </c>
      <c r="C206" s="42">
        <v>44398</v>
      </c>
      <c r="D206" s="4" t="s">
        <v>209</v>
      </c>
      <c r="E206" s="4">
        <v>2</v>
      </c>
      <c r="F206" s="9" t="s">
        <v>204</v>
      </c>
      <c r="G206" s="44" t="s">
        <v>314</v>
      </c>
      <c r="H206" s="4" t="s">
        <v>12</v>
      </c>
      <c r="I206" s="4" t="s">
        <v>315</v>
      </c>
      <c r="J206" s="8" t="s">
        <v>13</v>
      </c>
    </row>
    <row r="207" spans="1:11">
      <c r="A207" s="4">
        <v>22</v>
      </c>
      <c r="B207" s="4" t="s">
        <v>191</v>
      </c>
      <c r="C207" s="42">
        <v>46955</v>
      </c>
      <c r="D207" s="4" t="s">
        <v>209</v>
      </c>
      <c r="E207" s="4">
        <v>2</v>
      </c>
      <c r="F207" s="9" t="s">
        <v>262</v>
      </c>
      <c r="G207" s="4">
        <v>37</v>
      </c>
      <c r="H207" s="4" t="s">
        <v>12</v>
      </c>
      <c r="I207" s="4" t="s">
        <v>316</v>
      </c>
      <c r="J207" s="8" t="s">
        <v>13</v>
      </c>
      <c r="K207" s="9" t="s">
        <v>207</v>
      </c>
    </row>
    <row r="208" spans="1:11">
      <c r="A208" s="4">
        <v>22</v>
      </c>
      <c r="B208" s="31" t="s">
        <v>191</v>
      </c>
      <c r="C208" s="42">
        <v>47320</v>
      </c>
      <c r="D208" s="4" t="s">
        <v>209</v>
      </c>
      <c r="E208" s="4">
        <v>2</v>
      </c>
      <c r="F208" s="9" t="s">
        <v>296</v>
      </c>
      <c r="G208" s="4">
        <v>20</v>
      </c>
      <c r="H208" s="4" t="s">
        <v>12</v>
      </c>
      <c r="I208" s="7" t="s">
        <v>317</v>
      </c>
      <c r="J208" s="8" t="s">
        <v>13</v>
      </c>
      <c r="K208" s="56" t="s">
        <v>301</v>
      </c>
    </row>
    <row r="209" spans="1:10">
      <c r="A209" s="4">
        <v>23</v>
      </c>
      <c r="B209" s="4" t="s">
        <v>86</v>
      </c>
      <c r="C209" s="42">
        <v>41538</v>
      </c>
      <c r="D209" s="57" t="s">
        <v>209</v>
      </c>
      <c r="E209" s="57">
        <v>2</v>
      </c>
      <c r="F209" s="9" t="s">
        <v>204</v>
      </c>
      <c r="G209" s="57" t="s">
        <v>318</v>
      </c>
      <c r="H209" s="4" t="s">
        <v>12</v>
      </c>
      <c r="I209" s="7"/>
      <c r="J209" s="8"/>
    </row>
    <row r="210" spans="1:10">
      <c r="A210" s="4">
        <v>25</v>
      </c>
      <c r="B210" s="4" t="s">
        <v>91</v>
      </c>
      <c r="C210" s="42">
        <v>41538</v>
      </c>
      <c r="D210" s="57" t="s">
        <v>209</v>
      </c>
      <c r="E210" s="57">
        <v>2</v>
      </c>
      <c r="F210" s="58" t="s">
        <v>204</v>
      </c>
      <c r="G210" s="57" t="s">
        <v>318</v>
      </c>
      <c r="H210" s="4" t="s">
        <v>12</v>
      </c>
      <c r="I210" s="7">
        <v>1624</v>
      </c>
      <c r="J210" s="8" t="s">
        <v>13</v>
      </c>
    </row>
    <row r="211" spans="1:10">
      <c r="A211" s="4">
        <v>26</v>
      </c>
      <c r="B211" s="4" t="s">
        <v>100</v>
      </c>
      <c r="C211" s="42">
        <v>42999</v>
      </c>
      <c r="D211" s="57" t="s">
        <v>209</v>
      </c>
      <c r="E211" s="57">
        <v>2</v>
      </c>
      <c r="F211" s="9" t="s">
        <v>204</v>
      </c>
      <c r="G211" s="57" t="s">
        <v>318</v>
      </c>
      <c r="H211" s="4" t="s">
        <v>12</v>
      </c>
      <c r="I211" s="59" t="s">
        <v>319</v>
      </c>
      <c r="J211" s="8" t="s">
        <v>13</v>
      </c>
    </row>
    <row r="212" spans="1:10">
      <c r="A212" s="4">
        <v>27</v>
      </c>
      <c r="B212" s="4" t="s">
        <v>106</v>
      </c>
      <c r="C212" s="42">
        <v>42999</v>
      </c>
      <c r="D212" s="57" t="s">
        <v>209</v>
      </c>
      <c r="E212" s="57">
        <v>2</v>
      </c>
      <c r="F212" s="9" t="s">
        <v>204</v>
      </c>
      <c r="G212" s="57" t="s">
        <v>318</v>
      </c>
      <c r="H212" s="4" t="s">
        <v>12</v>
      </c>
    </row>
    <row r="213" spans="1:10">
      <c r="A213" s="4">
        <v>28</v>
      </c>
      <c r="B213" s="4" t="s">
        <v>114</v>
      </c>
      <c r="C213" s="42">
        <v>44095</v>
      </c>
      <c r="D213" s="57" t="s">
        <v>209</v>
      </c>
      <c r="E213" s="57">
        <v>2</v>
      </c>
      <c r="F213" s="9" t="s">
        <v>204</v>
      </c>
      <c r="G213" s="57" t="s">
        <v>318</v>
      </c>
      <c r="H213" s="4" t="s">
        <v>12</v>
      </c>
    </row>
    <row r="214" spans="1:10">
      <c r="A214" s="4">
        <v>29</v>
      </c>
      <c r="B214" s="4" t="s">
        <v>119</v>
      </c>
      <c r="C214" s="42">
        <v>44095</v>
      </c>
      <c r="D214" s="57" t="s">
        <v>209</v>
      </c>
      <c r="E214" s="57">
        <v>2</v>
      </c>
      <c r="F214" s="9" t="s">
        <v>204</v>
      </c>
      <c r="G214" s="57" t="s">
        <v>318</v>
      </c>
      <c r="H214" s="4" t="s">
        <v>12</v>
      </c>
    </row>
    <row r="215" spans="1:10">
      <c r="A215" s="4">
        <v>30</v>
      </c>
      <c r="B215" s="4" t="s">
        <v>125</v>
      </c>
      <c r="C215" s="42">
        <v>44460</v>
      </c>
      <c r="D215" s="57" t="s">
        <v>209</v>
      </c>
      <c r="E215" s="57">
        <v>2</v>
      </c>
      <c r="F215" s="9" t="s">
        <v>204</v>
      </c>
      <c r="G215" s="57" t="s">
        <v>318</v>
      </c>
      <c r="H215" s="4" t="s">
        <v>12</v>
      </c>
    </row>
    <row r="216" spans="1:10">
      <c r="A216" s="57">
        <v>31</v>
      </c>
      <c r="B216" s="4" t="s">
        <v>134</v>
      </c>
      <c r="C216" s="42">
        <v>44460</v>
      </c>
      <c r="D216" s="57" t="s">
        <v>209</v>
      </c>
      <c r="E216" s="57">
        <v>2</v>
      </c>
      <c r="F216" s="9" t="s">
        <v>204</v>
      </c>
      <c r="G216" s="57" t="s">
        <v>318</v>
      </c>
      <c r="H216" s="4" t="s">
        <v>12</v>
      </c>
    </row>
    <row r="217" spans="1:10">
      <c r="A217" s="57">
        <v>32</v>
      </c>
      <c r="B217" s="4" t="s">
        <v>141</v>
      </c>
      <c r="C217" s="42">
        <v>44460</v>
      </c>
      <c r="D217" s="57" t="s">
        <v>209</v>
      </c>
      <c r="E217" s="57">
        <v>2</v>
      </c>
      <c r="F217" s="9" t="s">
        <v>204</v>
      </c>
      <c r="G217" s="57" t="s">
        <v>318</v>
      </c>
      <c r="H217" s="4" t="s">
        <v>12</v>
      </c>
    </row>
    <row r="218" spans="1:10">
      <c r="A218" s="57">
        <v>33</v>
      </c>
      <c r="B218" s="4" t="s">
        <v>160</v>
      </c>
      <c r="C218" s="42">
        <v>44460</v>
      </c>
      <c r="D218" s="57" t="s">
        <v>209</v>
      </c>
      <c r="E218" s="57">
        <v>2</v>
      </c>
      <c r="F218" s="9" t="s">
        <v>204</v>
      </c>
      <c r="G218" s="57" t="s">
        <v>318</v>
      </c>
      <c r="H218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Lifestyle</vt:lpstr>
      <vt:lpstr>ATR_FTIR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Hania</dc:creator>
  <cp:lastModifiedBy>Hania</cp:lastModifiedBy>
  <dcterms:created xsi:type="dcterms:W3CDTF">2015-06-05T18:19:34Z</dcterms:created>
  <dcterms:modified xsi:type="dcterms:W3CDTF">2021-11-23T21:29:59Z</dcterms:modified>
</cp:coreProperties>
</file>